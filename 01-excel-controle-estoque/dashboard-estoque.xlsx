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le\Desktop\Documentosportfolio-data-science\01-excel-controle-estoque\"/>
    </mc:Choice>
  </mc:AlternateContent>
  <xr:revisionPtr revIDLastSave="0" documentId="13_ncr:1_{AD9141AB-DDA8-4E5D-8E95-9710A94CAD62}" xr6:coauthVersionLast="47" xr6:coauthVersionMax="47" xr10:uidLastSave="{00000000-0000-0000-0000-000000000000}"/>
  <bookViews>
    <workbookView xWindow="-108" yWindow="-108" windowWidth="23256" windowHeight="12456" activeTab="4" xr2:uid="{9DEF0419-6759-4113-AF76-8A8C57CBF3AA}"/>
  </bookViews>
  <sheets>
    <sheet name="Cadastro" sheetId="1" r:id="rId1"/>
    <sheet name="Entrada" sheetId="2" r:id="rId2"/>
    <sheet name="Saída" sheetId="3" r:id="rId3"/>
    <sheet name="Resumo Estoque" sheetId="4" r:id="rId4"/>
    <sheet name="Tabelas Dinâmicas" sheetId="5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E3" i="4"/>
  <c r="E2" i="4"/>
  <c r="E4" i="4"/>
  <c r="G4" i="4" s="1"/>
  <c r="E5" i="4"/>
  <c r="G5" i="4" s="1"/>
  <c r="E6" i="4"/>
  <c r="G6" i="4" s="1"/>
  <c r="H6" i="4" s="1"/>
  <c r="E7" i="4"/>
  <c r="E8" i="4"/>
  <c r="G8" i="4" s="1"/>
  <c r="E9" i="4"/>
  <c r="G9" i="4" s="1"/>
  <c r="E10" i="4"/>
  <c r="E11" i="4"/>
  <c r="E12" i="4"/>
  <c r="G12" i="4" s="1"/>
  <c r="E13" i="4"/>
  <c r="G13" i="4" s="1"/>
  <c r="E14" i="4"/>
  <c r="G14" i="4" s="1"/>
  <c r="H14" i="4" s="1"/>
  <c r="E15" i="4"/>
  <c r="E16" i="4"/>
  <c r="G16" i="4" s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8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G15" i="4" l="1"/>
  <c r="H15" i="4" s="1"/>
  <c r="G7" i="4"/>
  <c r="G11" i="4"/>
  <c r="G2" i="4"/>
  <c r="G10" i="4"/>
  <c r="G3" i="4"/>
  <c r="H7" i="4"/>
  <c r="I7" i="4" a="1"/>
  <c r="I7" i="4" s="1"/>
  <c r="H8" i="4"/>
  <c r="I8" i="4" a="1"/>
  <c r="I8" i="4" s="1"/>
  <c r="I13" i="4" a="1"/>
  <c r="I13" i="4" s="1"/>
  <c r="H13" i="4"/>
  <c r="I5" i="4" a="1"/>
  <c r="I5" i="4" s="1"/>
  <c r="H5" i="4"/>
  <c r="I2" i="4" a="1"/>
  <c r="I2" i="4" s="1"/>
  <c r="H2" i="4"/>
  <c r="H16" i="4"/>
  <c r="I16" i="4" a="1"/>
  <c r="I16" i="4" s="1"/>
  <c r="I12" i="4" a="1"/>
  <c r="I12" i="4" s="1"/>
  <c r="H12" i="4"/>
  <c r="H4" i="4"/>
  <c r="I4" i="4" a="1"/>
  <c r="I4" i="4" s="1"/>
  <c r="I10" i="4" a="1"/>
  <c r="I10" i="4" s="1"/>
  <c r="H10" i="4"/>
  <c r="H3" i="4"/>
  <c r="I3" i="4" a="1"/>
  <c r="I3" i="4" s="1"/>
  <c r="H11" i="4"/>
  <c r="I11" i="4" a="1"/>
  <c r="I11" i="4" s="1"/>
  <c r="H9" i="4"/>
  <c r="I9" i="4" a="1"/>
  <c r="I9" i="4" s="1"/>
  <c r="I14" i="4" a="1"/>
  <c r="I14" i="4" s="1"/>
  <c r="I6" i="4" a="1"/>
  <c r="I6" i="4" s="1"/>
  <c r="I15" i="4" l="1" a="1"/>
  <c r="I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<sst xmlns="http://schemas.openxmlformats.org/spreadsheetml/2006/main" count="355" uniqueCount="102">
  <si>
    <t>SKU</t>
  </si>
  <si>
    <t>Produto</t>
  </si>
  <si>
    <t>Descrição</t>
  </si>
  <si>
    <t>Categoria</t>
  </si>
  <si>
    <t>Preço Unitário</t>
  </si>
  <si>
    <t>Fornecedor</t>
  </si>
  <si>
    <t>Data de Cadastro</t>
  </si>
  <si>
    <t>SKU001</t>
  </si>
  <si>
    <t>Fone Bluetooth AirMax</t>
  </si>
  <si>
    <t>Fone sem fio com estojo de carregamento</t>
  </si>
  <si>
    <t>Áudio</t>
  </si>
  <si>
    <t>Tech Distribuidora</t>
  </si>
  <si>
    <t>SKU002</t>
  </si>
  <si>
    <t>Caixa de Som MiniBass</t>
  </si>
  <si>
    <t>Caixa portátil bluetooth</t>
  </si>
  <si>
    <t>Som &amp; Cia</t>
  </si>
  <si>
    <t>SKU003</t>
  </si>
  <si>
    <t>Mouse Gamer ProClick</t>
  </si>
  <si>
    <t>Mouse óptico com RGB</t>
  </si>
  <si>
    <t>Periféricos</t>
  </si>
  <si>
    <t>InfoParts</t>
  </si>
  <si>
    <t>SKU004</t>
  </si>
  <si>
    <t>Teclado Mecânico KeyStorm</t>
  </si>
  <si>
    <t>Teclado mecânico switch blue</t>
  </si>
  <si>
    <t>SKU005</t>
  </si>
  <si>
    <t>Webcam Full HD VisionCam</t>
  </si>
  <si>
    <t>Webcam 1080p com microfone</t>
  </si>
  <si>
    <t>SKU006</t>
  </si>
  <si>
    <t>Carregador USB-C Turbo</t>
  </si>
  <si>
    <t>Carregador rápido 25W</t>
  </si>
  <si>
    <t>Acessórios</t>
  </si>
  <si>
    <t>Mobile Center</t>
  </si>
  <si>
    <t>SKU007</t>
  </si>
  <si>
    <t>Cabo USB-C Reforçado</t>
  </si>
  <si>
    <t>Cabo de carregamento 1 metro</t>
  </si>
  <si>
    <t>SKU008</t>
  </si>
  <si>
    <t>Power Bank 10000mAh</t>
  </si>
  <si>
    <t>Bateria portátil compacta</t>
  </si>
  <si>
    <t>Energy Plus</t>
  </si>
  <si>
    <t>SKU009</t>
  </si>
  <si>
    <t>Luminária LED Smart</t>
  </si>
  <si>
    <t>Luminária inteligente com controle de intensidade</t>
  </si>
  <si>
    <t>Casa Inteligente</t>
  </si>
  <si>
    <t>SmartHome Brasil</t>
  </si>
  <si>
    <t>SKU010</t>
  </si>
  <si>
    <t>Tomada Inteligente Wi-Fi</t>
  </si>
  <si>
    <t>Tomada smart compatível com assistente virtual</t>
  </si>
  <si>
    <t>SKU011</t>
  </si>
  <si>
    <t>Roteador Wi-Fi Dual Band</t>
  </si>
  <si>
    <t>Roteador doméstico de alta velocidade</t>
  </si>
  <si>
    <t>Redes</t>
  </si>
  <si>
    <t>Net Solutions</t>
  </si>
  <si>
    <t>SKU012</t>
  </si>
  <si>
    <t>Repetidor de Sinal Wi-Fi</t>
  </si>
  <si>
    <t>Amplificador de sinal wireless</t>
  </si>
  <si>
    <t>SKU013</t>
  </si>
  <si>
    <t>SSD 480GB FastDisk</t>
  </si>
  <si>
    <t>Unidade SSD SATA 480GB</t>
  </si>
  <si>
    <t>Armazenamento</t>
  </si>
  <si>
    <t>Storage Pro</t>
  </si>
  <si>
    <t>SKU014</t>
  </si>
  <si>
    <t>Pendrive 64GB DataGo</t>
  </si>
  <si>
    <t>Pendrive USB 3.0</t>
  </si>
  <si>
    <t>SKU015</t>
  </si>
  <si>
    <t>Hub USB 4 Portas</t>
  </si>
  <si>
    <t>Hub expansor USB compacto</t>
  </si>
  <si>
    <t>Data</t>
  </si>
  <si>
    <t>Quantidade Entrada</t>
  </si>
  <si>
    <t>Responsável</t>
  </si>
  <si>
    <t>Observação</t>
  </si>
  <si>
    <t>Carlos</t>
  </si>
  <si>
    <t>Compra inicial</t>
  </si>
  <si>
    <t>Ana</t>
  </si>
  <si>
    <t>Marcos</t>
  </si>
  <si>
    <t>Reposição</t>
  </si>
  <si>
    <t>Quantidade Saída</t>
  </si>
  <si>
    <t>Canal de Venda</t>
  </si>
  <si>
    <t>Loja Física</t>
  </si>
  <si>
    <t>Venda normal</t>
  </si>
  <si>
    <t>Marketplace</t>
  </si>
  <si>
    <t>Venda online</t>
  </si>
  <si>
    <t>Campanha promocional</t>
  </si>
  <si>
    <t>Total Entradas</t>
  </si>
  <si>
    <t>Total Saídas</t>
  </si>
  <si>
    <t>Saldo Atual</t>
  </si>
  <si>
    <t>Valor em Estoque</t>
  </si>
  <si>
    <t>Status do Produto</t>
  </si>
  <si>
    <t>Rótulos de Linha</t>
  </si>
  <si>
    <t>Total Geral</t>
  </si>
  <si>
    <t>Soma de Valor em Estoque</t>
  </si>
  <si>
    <t>Valor total em estoque por categoria</t>
  </si>
  <si>
    <t>Contagem de SKU</t>
  </si>
  <si>
    <t>Quantidade de SKUs por categoria</t>
  </si>
  <si>
    <t>Média de Preço Unitário</t>
  </si>
  <si>
    <t>Preço médio por categoria</t>
  </si>
  <si>
    <t>Soma de Total Entradas</t>
  </si>
  <si>
    <t>Total de saídas por categoria</t>
  </si>
  <si>
    <t>Crítico</t>
  </si>
  <si>
    <t>Excesso</t>
  </si>
  <si>
    <t>OK</t>
  </si>
  <si>
    <t>Produtos por status</t>
  </si>
  <si>
    <t>Top produtos por valor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</si>
</sst>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8" formatCode="&quot;R$&quot;\ 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1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8" formatCode="&quot;R$&quot;\ #,##0.00"/>
    </dxf>
    <dxf>
      <numFmt numFmtId="1" formatCode="0"/>
    </dxf>
    <dxf>
      <numFmt numFmtId="1" formatCode="0"/>
    </dxf>
    <dxf>
      <numFmt numFmtId="0" formatCode="General"/>
    </dxf>
    <dxf>
      <numFmt numFmtId="168" formatCode="&quot;R$&quot;\ #,##0.0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leson Oliveira" refreshedDate="46148.552556249997" createdVersion="8" refreshedVersion="8" minRefreshableVersion="3" recordCount="15" xr:uid="{9BEAD0A7-2E1C-46B7-9BF7-BD42310BF8B2}">
  <cacheSource type="worksheet">
    <worksheetSource name="tbResumo"/>
  </cacheSource>
  <cacheFields count="9">
    <cacheField name="SKU" numFmtId="0">
      <sharedItems count="15">
        <s v="SKU001"/>
        <s v="SKU002"/>
        <s v="SKU003"/>
        <s v="SKU004"/>
        <s v="SKU005"/>
        <s v="SKU006"/>
        <s v="SKU007"/>
        <s v="SKU008"/>
        <s v="SKU009"/>
        <s v="SKU010"/>
        <s v="SKU011"/>
        <s v="SKU012"/>
        <s v="SKU013"/>
        <s v="SKU014"/>
        <s v="SKU015"/>
      </sharedItems>
    </cacheField>
    <cacheField name="Produto" numFmtId="0">
      <sharedItems count="15">
        <s v="Fone Bluetooth AirMax"/>
        <s v="Caixa de Som MiniBass"/>
        <s v="Mouse Gamer ProClick"/>
        <s v="Teclado Mecânico KeyStorm"/>
        <s v="Webcam Full HD VisionCam"/>
        <s v="Carregador USB-C Turbo"/>
        <s v="Cabo USB-C Reforçado"/>
        <s v="Power Bank 10000mAh"/>
        <s v="Luminária LED Smart"/>
        <s v="Tomada Inteligente Wi-Fi"/>
        <s v="Roteador Wi-Fi Dual Band"/>
        <s v="Repetidor de Sinal Wi-Fi"/>
        <s v="SSD 480GB FastDisk"/>
        <s v="Pendrive 64GB DataGo"/>
        <s v="Hub USB 4 Portas"/>
      </sharedItems>
    </cacheField>
    <cacheField name="Categoria" numFmtId="0">
      <sharedItems count="6">
        <s v="Áudio"/>
        <s v="Periféricos"/>
        <s v="Acessórios"/>
        <s v="Casa Inteligente"/>
        <s v="Redes"/>
        <s v="Armazenamento"/>
      </sharedItems>
    </cacheField>
    <cacheField name="Preço Unitário" numFmtId="168">
      <sharedItems containsSemiMixedTypes="0" containsString="0" containsNumber="1" minValue="29.9" maxValue="259.89999999999998"/>
    </cacheField>
    <cacheField name="Total Entradas" numFmtId="1">
      <sharedItems containsSemiMixedTypes="0" containsString="0" containsNumber="1" containsInteger="1" minValue="40" maxValue="300"/>
    </cacheField>
    <cacheField name="Total Saídas" numFmtId="1">
      <sharedItems containsSemiMixedTypes="0" containsString="0" containsNumber="1" containsInteger="1" minValue="26" maxValue="170"/>
    </cacheField>
    <cacheField name="Saldo Atual" numFmtId="1">
      <sharedItems containsSemiMixedTypes="0" containsString="0" containsNumber="1" containsInteger="1" minValue="10" maxValue="135"/>
    </cacheField>
    <cacheField name="Valor em Estoque" numFmtId="168">
      <sharedItems containsSemiMixedTypes="0" containsString="0" containsNumber="1" minValue="1599" maxValue="15074.199999999999"/>
    </cacheField>
    <cacheField name="Status do Produto" numFmtId="0">
      <sharedItems count="3">
        <s v="OK"/>
        <s v="Crítico"/>
        <s v="Exces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129.9"/>
    <n v="110"/>
    <n v="37"/>
    <n v="73"/>
    <n v="9482.7000000000007"/>
    <x v="0"/>
  </r>
  <r>
    <x v="1"/>
    <x v="1"/>
    <x v="0"/>
    <n v="89.9"/>
    <n v="60"/>
    <n v="26"/>
    <n v="34"/>
    <n v="3056.6000000000004"/>
    <x v="0"/>
  </r>
  <r>
    <x v="2"/>
    <x v="2"/>
    <x v="1"/>
    <n v="79.900000000000006"/>
    <n v="135"/>
    <n v="52"/>
    <n v="83"/>
    <n v="6631.7000000000007"/>
    <x v="0"/>
  </r>
  <r>
    <x v="3"/>
    <x v="3"/>
    <x v="1"/>
    <n v="219.9"/>
    <n v="45"/>
    <n v="32"/>
    <n v="13"/>
    <n v="2858.7000000000003"/>
    <x v="1"/>
  </r>
  <r>
    <x v="4"/>
    <x v="4"/>
    <x v="1"/>
    <n v="159.9"/>
    <n v="50"/>
    <n v="40"/>
    <n v="10"/>
    <n v="1599"/>
    <x v="1"/>
  </r>
  <r>
    <x v="5"/>
    <x v="5"/>
    <x v="2"/>
    <n v="69.900000000000006"/>
    <n v="170"/>
    <n v="83"/>
    <n v="87"/>
    <n v="6081.3"/>
    <x v="0"/>
  </r>
  <r>
    <x v="6"/>
    <x v="6"/>
    <x v="2"/>
    <n v="29.9"/>
    <n v="300"/>
    <n v="165"/>
    <n v="135"/>
    <n v="4036.5"/>
    <x v="2"/>
  </r>
  <r>
    <x v="7"/>
    <x v="7"/>
    <x v="2"/>
    <n v="119.9"/>
    <n v="90"/>
    <n v="58"/>
    <n v="32"/>
    <n v="3836.8"/>
    <x v="0"/>
  </r>
  <r>
    <x v="8"/>
    <x v="8"/>
    <x v="3"/>
    <n v="149.9"/>
    <n v="40"/>
    <n v="27"/>
    <n v="13"/>
    <n v="1948.7"/>
    <x v="1"/>
  </r>
  <r>
    <x v="9"/>
    <x v="9"/>
    <x v="3"/>
    <n v="99.9"/>
    <n v="90"/>
    <n v="36"/>
    <n v="54"/>
    <n v="5394.6"/>
    <x v="0"/>
  </r>
  <r>
    <x v="10"/>
    <x v="10"/>
    <x v="4"/>
    <n v="189.9"/>
    <n v="55"/>
    <n v="40"/>
    <n v="15"/>
    <n v="2848.5"/>
    <x v="1"/>
  </r>
  <r>
    <x v="11"/>
    <x v="11"/>
    <x v="4"/>
    <n v="109.9"/>
    <n v="105"/>
    <n v="57"/>
    <n v="48"/>
    <n v="5275.2000000000007"/>
    <x v="0"/>
  </r>
  <r>
    <x v="12"/>
    <x v="12"/>
    <x v="5"/>
    <n v="259.89999999999998"/>
    <n v="130"/>
    <n v="72"/>
    <n v="58"/>
    <n v="15074.199999999999"/>
    <x v="0"/>
  </r>
  <r>
    <x v="13"/>
    <x v="13"/>
    <x v="5"/>
    <n v="49.9"/>
    <n v="230"/>
    <n v="170"/>
    <n v="60"/>
    <n v="2994"/>
    <x v="0"/>
  </r>
  <r>
    <x v="14"/>
    <x v="14"/>
    <x v="2"/>
    <n v="59.9"/>
    <n v="155"/>
    <n v="78"/>
    <n v="77"/>
    <n v="4612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11E86-4924-4261-BC83-101B6E91C0CF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5:E31" firstHeaderRow="1" firstDataRow="1" firstDataCol="1"/>
  <pivotFields count="9">
    <pivotField showAll="0"/>
    <pivotField axis="axisRow" showAll="0" sortType="descending">
      <items count="16">
        <item x="6"/>
        <item x="1"/>
        <item x="5"/>
        <item x="0"/>
        <item x="14"/>
        <item x="8"/>
        <item x="2"/>
        <item x="13"/>
        <item x="7"/>
        <item x="11"/>
        <item x="10"/>
        <item x="12"/>
        <item x="3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8" showAll="0"/>
    <pivotField numFmtId="1" showAll="0"/>
    <pivotField numFmtId="1" showAll="0"/>
    <pivotField numFmtId="1" showAll="0"/>
    <pivotField dataField="1" numFmtId="168" showAll="0"/>
    <pivotField showAll="0"/>
  </pivotFields>
  <rowFields count="1">
    <field x="1"/>
  </rowFields>
  <rowItems count="16">
    <i>
      <x v="11"/>
    </i>
    <i>
      <x v="3"/>
    </i>
    <i>
      <x v="6"/>
    </i>
    <i>
      <x v="2"/>
    </i>
    <i>
      <x v="13"/>
    </i>
    <i>
      <x v="9"/>
    </i>
    <i>
      <x v="4"/>
    </i>
    <i>
      <x/>
    </i>
    <i>
      <x v="8"/>
    </i>
    <i>
      <x v="1"/>
    </i>
    <i>
      <x v="7"/>
    </i>
    <i>
      <x v="12"/>
    </i>
    <i>
      <x v="10"/>
    </i>
    <i>
      <x v="5"/>
    </i>
    <i>
      <x v="14"/>
    </i>
    <i t="grand">
      <x/>
    </i>
  </rowItems>
  <colItems count="1">
    <i/>
  </colItems>
  <dataFields count="1">
    <dataField name="Soma de Valor em Estoque" fld="7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B161A-AD5E-4FF1-AE61-3A2B15A1C384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9" firstHeaderRow="1" firstDataRow="1" firstDataCol="1"/>
  <pivotFields count="9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numFmtId="168" showAll="0"/>
    <pivotField numFmtId="1" showAll="0"/>
    <pivotField numFmtId="1" showAll="0"/>
    <pivotField numFmtId="1" showAll="0"/>
    <pivotField numFmtId="168"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K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C298E-F488-450E-81B0-61195D914338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K10" firstHeaderRow="1" firstDataRow="1" firstDataCol="1"/>
  <pivotFields count="9">
    <pivotField showAll="0"/>
    <pivotField showAll="0"/>
    <pivotField axis="axisRow" showAll="0">
      <items count="7">
        <item x="2"/>
        <item x="5"/>
        <item x="0"/>
        <item x="3"/>
        <item x="1"/>
        <item x="4"/>
        <item t="default"/>
      </items>
    </pivotField>
    <pivotField numFmtId="168" showAll="0"/>
    <pivotField dataField="1" numFmtId="1" showAll="0"/>
    <pivotField numFmtId="1" showAll="0"/>
    <pivotField numFmtId="1" showAll="0"/>
    <pivotField numFmtId="168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 Entradas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2D270-EAFA-470E-9420-AE022D18FC38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0" firstHeaderRow="1" firstDataRow="1" firstDataCol="1"/>
  <pivotFields count="9">
    <pivotField showAll="0"/>
    <pivotField showAll="0"/>
    <pivotField axis="axisRow" showAll="0">
      <items count="7">
        <item x="2"/>
        <item x="5"/>
        <item x="0"/>
        <item x="3"/>
        <item x="1"/>
        <item x="4"/>
        <item t="default"/>
      </items>
    </pivotField>
    <pivotField dataField="1" numFmtId="168" showAll="0"/>
    <pivotField numFmtId="1" showAll="0"/>
    <pivotField numFmtId="1" showAll="0"/>
    <pivotField numFmtId="1" showAll="0"/>
    <pivotField numFmtId="168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édia de Preço Unitário" fld="3" subtotal="average" baseField="2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F811-45F8-4D93-8D26-D6178C957874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0" firstHeaderRow="1" firstDataRow="1" firstDataCol="1"/>
  <pivotFields count="9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7">
        <item x="2"/>
        <item x="5"/>
        <item x="0"/>
        <item x="3"/>
        <item x="1"/>
        <item x="4"/>
        <item t="default"/>
      </items>
    </pivotField>
    <pivotField numFmtId="168" showAll="0"/>
    <pivotField numFmtId="1" showAll="0"/>
    <pivotField numFmtId="1" showAll="0"/>
    <pivotField numFmtId="1" showAll="0"/>
    <pivotField numFmtId="168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SK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78C11-AF54-4448-B789-406373CF54CE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showAll="0"/>
    <pivotField showAll="0"/>
    <pivotField axis="axisRow" showAll="0">
      <items count="7">
        <item x="2"/>
        <item x="5"/>
        <item x="0"/>
        <item x="3"/>
        <item x="1"/>
        <item x="4"/>
        <item t="default"/>
      </items>
    </pivotField>
    <pivotField numFmtId="168" showAll="0"/>
    <pivotField numFmtId="1" showAll="0"/>
    <pivotField numFmtId="1" showAll="0"/>
    <pivotField numFmtId="1" showAll="0"/>
    <pivotField dataField="1" numFmtId="168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em Estoque" fld="7" baseField="2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0E105-DF20-410E-880C-176DE904B2DA}" name="tbCadastro" displayName="tbCadastro" ref="A1:G16" totalsRowShown="0">
  <autoFilter ref="A1:G16" xr:uid="{3680E105-DF20-410E-880C-176DE904B2DA}"/>
  <tableColumns count="7">
    <tableColumn id="1" xr3:uid="{A1DD318A-E068-4AAF-8465-5720EFFD1DB5}" name="SKU"/>
    <tableColumn id="2" xr3:uid="{474B68BA-BE3F-4822-A13D-98B92741539B}" name="Produto"/>
    <tableColumn id="3" xr3:uid="{C9C1ED03-FCD0-490A-AE7B-3D65AB9EBFBB}" name="Descrição"/>
    <tableColumn id="4" xr3:uid="{8BEC5BD3-48D4-4690-B9D3-B90E65A45828}" name="Categoria"/>
    <tableColumn id="5" xr3:uid="{436AE5E3-8707-4267-BC04-5D2C9A67A0FC}" name="Preço Unitário" dataDxfId="80"/>
    <tableColumn id="6" xr3:uid="{EA58917D-0C34-4FB2-A614-DCAD68AA44F6}" name="Fornecedor"/>
    <tableColumn id="7" xr3:uid="{04EAC182-50EF-47E6-BCFB-5A3CF1673859}" name="Data de Cadastro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7F13DD-B86B-492C-98DA-F2F5B2C8D8F6}" name="tbEntrada" displayName="tbEntrada" ref="A1:F26" totalsRowShown="0">
  <autoFilter ref="A1:F26" xr:uid="{E47F13DD-B86B-492C-98DA-F2F5B2C8D8F6}"/>
  <tableColumns count="6">
    <tableColumn id="1" xr3:uid="{E9596E97-1BC4-4840-8827-C2762EA08DF0}" name="Data" dataDxfId="78"/>
    <tableColumn id="2" xr3:uid="{7987F022-B4FC-4F00-B1FF-6BFCB106433D}" name="SKU"/>
    <tableColumn id="3" xr3:uid="{CE0AFAD0-D886-4AD3-9DC7-F53B9E49B62D}" name="Produto" dataDxfId="77">
      <calculatedColumnFormula>_xlfn.XLOOKUP(tbEntrada[[#This Row],[SKU]],tbCadastro[SKU],tbCadastro[Produto],"SKU não encontrado")</calculatedColumnFormula>
    </tableColumn>
    <tableColumn id="4" xr3:uid="{1B8D7365-FCDC-4BA4-8560-936671FD7ACB}" name="Quantidade Entrada" dataDxfId="76"/>
    <tableColumn id="5" xr3:uid="{575BEAB7-E3EC-442C-9D56-D43256ABCBFE}" name="Responsável"/>
    <tableColumn id="6" xr3:uid="{3F64F76D-003F-4F5F-B825-2C63E0C4FEBC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603194-BD4A-445E-92EE-AEDDA93B7FEE}" name="tbSaida" displayName="tbSaida" ref="A1:F31" totalsRowShown="0">
  <autoFilter ref="A1:F31" xr:uid="{83603194-BD4A-445E-92EE-AEDDA93B7FEE}"/>
  <tableColumns count="6">
    <tableColumn id="1" xr3:uid="{84870D34-BE9F-4CFC-A62B-6EE2B5631FD5}" name="Data" dataDxfId="75"/>
    <tableColumn id="2" xr3:uid="{73BFB05B-0638-42FE-83E0-AB0F3445B4FF}" name="SKU"/>
    <tableColumn id="3" xr3:uid="{63B5D954-F021-49FF-BBD4-26F9DF540E6B}" name="Produto" dataDxfId="74"/>
    <tableColumn id="4" xr3:uid="{C7872616-E7BA-4C77-8D41-2068067BB2A7}" name="Quantidade Saída" dataDxfId="73"/>
    <tableColumn id="5" xr3:uid="{9B35AB08-6C54-43E0-B34D-15830AD4E19C}" name="Canal de Venda"/>
    <tableColumn id="6" xr3:uid="{AB3D24CB-C511-41D2-9E6C-DBF4DB411643}" name="Observ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7C1072-069C-4E65-BC46-A0126DC66A9D}" name="tbResumo" displayName="tbResumo" ref="A1:I16" totalsRowShown="0">
  <autoFilter ref="A1:I16" xr:uid="{BD7C1072-069C-4E65-BC46-A0126DC66A9D}"/>
  <tableColumns count="9">
    <tableColumn id="1" xr3:uid="{AFCC0670-0435-4226-9FA6-3F4C4570978C}" name="SKU"/>
    <tableColumn id="2" xr3:uid="{33970285-D1D7-476B-BBA9-8275F1325098}" name="Produto" dataDxfId="72">
      <calculatedColumnFormula>_xlfn.XLOOKUP(tbResumo[[#This Row],[SKU]],tbCadastro[SKU],tbCadastro[Produto],"Não encontrado")</calculatedColumnFormula>
    </tableColumn>
    <tableColumn id="3" xr3:uid="{FBE19390-9F20-412F-B9BC-5B2C4EDF63CC}" name="Categoria" dataDxfId="71">
      <calculatedColumnFormula>_xlfn.XLOOKUP(tbResumo[[#This Row],[SKU]],tbCadastro[SKU],tbCadastro[Categoria],"Não encontrado")</calculatedColumnFormula>
    </tableColumn>
    <tableColumn id="4" xr3:uid="{835D2E0F-0263-42D6-AA0A-94AF4AA5E9F9}" name="Preço Unitário" dataDxfId="70">
      <calculatedColumnFormula>_xlfn.XLOOKUP(tbResumo[[#This Row],[SKU]],tbCadastro[SKU],tbCadastro[Preço Unitário],0)</calculatedColumnFormula>
    </tableColumn>
    <tableColumn id="5" xr3:uid="{942FB79E-E6A3-41AC-9404-32FE05DC1B9B}" name="Total Entradas" dataDxfId="68">
      <calculatedColumnFormula>SUMIFS(tbEntrada[Quantidade Entrada],tbEntrada[SKU],tbResumo[[#This Row],[SKU]])</calculatedColumnFormula>
    </tableColumn>
    <tableColumn id="6" xr3:uid="{7BEFCDA8-EFA9-4C2A-8C16-E8BC7BC238F9}" name="Total Saídas" dataDxfId="67">
      <calculatedColumnFormula>SUMIFS(tbSaida[Quantidade Saída],tbSaida[SKU],tbResumo[[#This Row],[SKU]])</calculatedColumnFormula>
    </tableColumn>
    <tableColumn id="7" xr3:uid="{5D9EA3A2-6461-4B5F-B087-6EF35C8877D7}" name="Saldo Atual" dataDxfId="65">
      <calculatedColumnFormula>tbResumo[[#This Row],[Total Entradas]]-tbResumo[[#This Row],[Total Saídas]]</calculatedColumnFormula>
    </tableColumn>
    <tableColumn id="8" xr3:uid="{BD3FFB3C-1AD7-4CB3-B102-E85977A14914}" name="Valor em Estoque" dataDxfId="66">
      <calculatedColumnFormula>tbResumo[[#This Row],[Saldo Atual]]*tbResumo[[#This Row],[Preço Unitário]]</calculatedColumnFormula>
    </tableColumn>
    <tableColumn id="9" xr3:uid="{09CD25CB-684F-43EF-9564-9897A61DFF8E}" name="Status do Produto" dataDxfId="69">
      <calculatedColumnFormula array="1">_xlfn.IFS(tbResumo[[#This Row],[Saldo Atual]]&lt;0,"Estoque Negativo",tbResumo[[#This Row],[Saldo Atual]]=0,"Obsoleto",tbResumo[[#This Row],[Saldo Atual]]&lt;=20,"Crítico",tbResumo[[#This Row],[Saldo Atual]]&lt;=100,"OK",tbResumo[[#This Row],[Saldo Atual]]&gt;100,"Excesso")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88C8-8BAF-4154-B19B-A3F57E120061}">
  <dimension ref="A1:G19"/>
  <sheetViews>
    <sheetView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2.77734375" customWidth="1"/>
    <col min="2" max="2" width="29.44140625" customWidth="1"/>
    <col min="3" max="3" width="46.6640625" customWidth="1"/>
    <col min="4" max="4" width="19.44140625" customWidth="1"/>
    <col min="5" max="5" width="17.44140625" style="2" customWidth="1"/>
    <col min="6" max="6" width="18.109375" customWidth="1"/>
    <col min="7" max="7" width="17.8867187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129.9</v>
      </c>
      <c r="F2" t="s">
        <v>11</v>
      </c>
      <c r="G2" s="1">
        <v>46027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s="2">
        <v>89.9</v>
      </c>
      <c r="F3" t="s">
        <v>15</v>
      </c>
      <c r="G3" s="1">
        <v>46027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s="2">
        <v>79.900000000000006</v>
      </c>
      <c r="F4" t="s">
        <v>20</v>
      </c>
      <c r="G4" s="1">
        <v>46029</v>
      </c>
    </row>
    <row r="5" spans="1:7" x14ac:dyDescent="0.3">
      <c r="A5" t="s">
        <v>21</v>
      </c>
      <c r="B5" t="s">
        <v>22</v>
      </c>
      <c r="C5" t="s">
        <v>23</v>
      </c>
      <c r="D5" t="s">
        <v>19</v>
      </c>
      <c r="E5" s="2">
        <v>219.9</v>
      </c>
      <c r="F5" t="s">
        <v>20</v>
      </c>
      <c r="G5" s="1">
        <v>46029</v>
      </c>
    </row>
    <row r="6" spans="1:7" x14ac:dyDescent="0.3">
      <c r="A6" t="s">
        <v>24</v>
      </c>
      <c r="B6" t="s">
        <v>25</v>
      </c>
      <c r="C6" t="s">
        <v>26</v>
      </c>
      <c r="D6" t="s">
        <v>19</v>
      </c>
      <c r="E6" s="2">
        <v>159.9</v>
      </c>
      <c r="F6" t="s">
        <v>11</v>
      </c>
      <c r="G6" s="1">
        <v>46030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s="2">
        <v>69.900000000000006</v>
      </c>
      <c r="F7" t="s">
        <v>31</v>
      </c>
      <c r="G7" s="1">
        <v>46032</v>
      </c>
    </row>
    <row r="8" spans="1:7" x14ac:dyDescent="0.3">
      <c r="A8" t="s">
        <v>32</v>
      </c>
      <c r="B8" t="s">
        <v>33</v>
      </c>
      <c r="C8" t="s">
        <v>34</v>
      </c>
      <c r="D8" t="s">
        <v>30</v>
      </c>
      <c r="E8" s="2">
        <v>29.9</v>
      </c>
      <c r="F8" t="s">
        <v>31</v>
      </c>
      <c r="G8" s="1">
        <v>46032</v>
      </c>
    </row>
    <row r="9" spans="1:7" x14ac:dyDescent="0.3">
      <c r="A9" t="s">
        <v>35</v>
      </c>
      <c r="B9" t="s">
        <v>36</v>
      </c>
      <c r="C9" t="s">
        <v>37</v>
      </c>
      <c r="D9" t="s">
        <v>30</v>
      </c>
      <c r="E9" s="2">
        <v>119.9</v>
      </c>
      <c r="F9" t="s">
        <v>38</v>
      </c>
      <c r="G9" s="1">
        <v>46034</v>
      </c>
    </row>
    <row r="10" spans="1:7" x14ac:dyDescent="0.3">
      <c r="A10" t="s">
        <v>39</v>
      </c>
      <c r="B10" t="s">
        <v>40</v>
      </c>
      <c r="C10" t="s">
        <v>41</v>
      </c>
      <c r="D10" t="s">
        <v>42</v>
      </c>
      <c r="E10" s="2">
        <v>149.9</v>
      </c>
      <c r="F10" t="s">
        <v>43</v>
      </c>
      <c r="G10" s="1">
        <v>46035</v>
      </c>
    </row>
    <row r="11" spans="1:7" x14ac:dyDescent="0.3">
      <c r="A11" t="s">
        <v>44</v>
      </c>
      <c r="B11" t="s">
        <v>45</v>
      </c>
      <c r="C11" t="s">
        <v>46</v>
      </c>
      <c r="D11" t="s">
        <v>42</v>
      </c>
      <c r="E11" s="2">
        <v>99.9</v>
      </c>
      <c r="F11" t="s">
        <v>43</v>
      </c>
      <c r="G11" s="1">
        <v>46035</v>
      </c>
    </row>
    <row r="12" spans="1:7" x14ac:dyDescent="0.3">
      <c r="A12" t="s">
        <v>47</v>
      </c>
      <c r="B12" t="s">
        <v>48</v>
      </c>
      <c r="C12" t="s">
        <v>49</v>
      </c>
      <c r="D12" t="s">
        <v>50</v>
      </c>
      <c r="E12" s="2">
        <v>189.9</v>
      </c>
      <c r="F12" t="s">
        <v>51</v>
      </c>
      <c r="G12" s="1">
        <v>46037</v>
      </c>
    </row>
    <row r="13" spans="1:7" x14ac:dyDescent="0.3">
      <c r="A13" t="s">
        <v>52</v>
      </c>
      <c r="B13" t="s">
        <v>53</v>
      </c>
      <c r="C13" t="s">
        <v>54</v>
      </c>
      <c r="D13" t="s">
        <v>50</v>
      </c>
      <c r="E13" s="2">
        <v>109.9</v>
      </c>
      <c r="F13" t="s">
        <v>51</v>
      </c>
      <c r="G13" s="1">
        <v>46037</v>
      </c>
    </row>
    <row r="14" spans="1:7" x14ac:dyDescent="0.3">
      <c r="A14" t="s">
        <v>55</v>
      </c>
      <c r="B14" t="s">
        <v>56</v>
      </c>
      <c r="C14" t="s">
        <v>57</v>
      </c>
      <c r="D14" t="s">
        <v>58</v>
      </c>
      <c r="E14" s="2">
        <v>259.89999999999998</v>
      </c>
      <c r="F14" t="s">
        <v>59</v>
      </c>
      <c r="G14" s="1">
        <v>46040</v>
      </c>
    </row>
    <row r="15" spans="1:7" x14ac:dyDescent="0.3">
      <c r="A15" t="s">
        <v>60</v>
      </c>
      <c r="B15" t="s">
        <v>61</v>
      </c>
      <c r="C15" t="s">
        <v>62</v>
      </c>
      <c r="D15" t="s">
        <v>58</v>
      </c>
      <c r="E15" s="2">
        <v>49.9</v>
      </c>
      <c r="F15" t="s">
        <v>59</v>
      </c>
      <c r="G15" s="1">
        <v>46040</v>
      </c>
    </row>
    <row r="16" spans="1:7" x14ac:dyDescent="0.3">
      <c r="A16" t="s">
        <v>63</v>
      </c>
      <c r="B16" t="s">
        <v>64</v>
      </c>
      <c r="C16" t="s">
        <v>65</v>
      </c>
      <c r="D16" t="s">
        <v>30</v>
      </c>
      <c r="E16" s="2">
        <v>59.9</v>
      </c>
      <c r="F16" t="s">
        <v>20</v>
      </c>
      <c r="G16" s="1">
        <v>46042</v>
      </c>
    </row>
    <row r="19" spans="6:6" x14ac:dyDescent="0.3">
      <c r="F19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2FF2-8A94-48BE-8D82-D1718948A8B1}">
  <dimension ref="A1:F26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44140625" style="1" customWidth="1"/>
    <col min="2" max="2" width="16.6640625" customWidth="1"/>
    <col min="3" max="3" width="28.88671875" customWidth="1"/>
    <col min="4" max="4" width="20.6640625" style="5" customWidth="1"/>
    <col min="5" max="5" width="21.44140625" customWidth="1"/>
    <col min="6" max="6" width="26.109375" customWidth="1"/>
  </cols>
  <sheetData>
    <row r="1" spans="1:6" x14ac:dyDescent="0.3">
      <c r="A1" s="1" t="s">
        <v>66</v>
      </c>
      <c r="B1" t="s">
        <v>0</v>
      </c>
      <c r="C1" t="s">
        <v>1</v>
      </c>
      <c r="D1" s="5" t="s">
        <v>67</v>
      </c>
      <c r="E1" t="s">
        <v>68</v>
      </c>
      <c r="F1" t="s">
        <v>69</v>
      </c>
    </row>
    <row r="2" spans="1:6" x14ac:dyDescent="0.3">
      <c r="A2" s="1">
        <v>46056</v>
      </c>
      <c r="B2" t="s">
        <v>7</v>
      </c>
      <c r="C2" t="str">
        <f>_xlfn.XLOOKUP(tbEntrada[[#This Row],[SKU]],tbCadastro[SKU],tbCadastro[Produto],"SKU não encontrado")</f>
        <v>Fone Bluetooth AirMax</v>
      </c>
      <c r="D2" s="5">
        <v>80</v>
      </c>
      <c r="E2" t="s">
        <v>70</v>
      </c>
      <c r="F2" t="s">
        <v>71</v>
      </c>
    </row>
    <row r="3" spans="1:6" x14ac:dyDescent="0.3">
      <c r="A3" s="1">
        <v>46056</v>
      </c>
      <c r="B3" t="s">
        <v>12</v>
      </c>
      <c r="C3" t="str">
        <f>_xlfn.XLOOKUP(tbEntrada[[#This Row],[SKU]],tbCadastro[SKU],tbCadastro[Produto],"SKU não encontrado")</f>
        <v>Caixa de Som MiniBass</v>
      </c>
      <c r="D3" s="5">
        <v>60</v>
      </c>
      <c r="E3" t="s">
        <v>70</v>
      </c>
      <c r="F3" t="s">
        <v>71</v>
      </c>
    </row>
    <row r="4" spans="1:6" x14ac:dyDescent="0.3">
      <c r="A4" s="1">
        <v>46057</v>
      </c>
      <c r="B4" t="s">
        <v>16</v>
      </c>
      <c r="C4" t="str">
        <f>_xlfn.XLOOKUP(tbEntrada[[#This Row],[SKU]],tbCadastro[SKU],tbCadastro[Produto],"SKU não encontrado")</f>
        <v>Mouse Gamer ProClick</v>
      </c>
      <c r="D4" s="5">
        <v>100</v>
      </c>
      <c r="E4" t="s">
        <v>72</v>
      </c>
      <c r="F4" t="s">
        <v>71</v>
      </c>
    </row>
    <row r="5" spans="1:6" x14ac:dyDescent="0.3">
      <c r="A5" s="1">
        <v>46057</v>
      </c>
      <c r="B5" t="s">
        <v>21</v>
      </c>
      <c r="C5" t="str">
        <f>_xlfn.XLOOKUP(tbEntrada[[#This Row],[SKU]],tbCadastro[SKU],tbCadastro[Produto],"SKU não encontrado")</f>
        <v>Teclado Mecânico KeyStorm</v>
      </c>
      <c r="D5" s="5">
        <v>45</v>
      </c>
      <c r="E5" t="s">
        <v>72</v>
      </c>
      <c r="F5" t="s">
        <v>71</v>
      </c>
    </row>
    <row r="6" spans="1:6" x14ac:dyDescent="0.3">
      <c r="A6" s="1">
        <v>46058</v>
      </c>
      <c r="B6" t="s">
        <v>24</v>
      </c>
      <c r="C6" t="str">
        <f>_xlfn.XLOOKUP(tbEntrada[[#This Row],[SKU]],tbCadastro[SKU],tbCadastro[Produto],"SKU não encontrado")</f>
        <v>Webcam Full HD VisionCam</v>
      </c>
      <c r="D6" s="5">
        <v>50</v>
      </c>
      <c r="E6" t="s">
        <v>73</v>
      </c>
      <c r="F6" t="s">
        <v>71</v>
      </c>
    </row>
    <row r="7" spans="1:6" x14ac:dyDescent="0.3">
      <c r="A7" s="1">
        <v>46058</v>
      </c>
      <c r="B7" t="s">
        <v>27</v>
      </c>
      <c r="C7" t="str">
        <f>_xlfn.XLOOKUP(tbEntrada[[#This Row],[SKU]],tbCadastro[SKU],tbCadastro[Produto],"SKU não encontrado")</f>
        <v>Carregador USB-C Turbo</v>
      </c>
      <c r="D7" s="5">
        <v>120</v>
      </c>
      <c r="E7" t="s">
        <v>73</v>
      </c>
      <c r="F7" t="s">
        <v>71</v>
      </c>
    </row>
    <row r="8" spans="1:6" x14ac:dyDescent="0.3">
      <c r="A8" s="1">
        <v>46059</v>
      </c>
      <c r="B8" t="s">
        <v>32</v>
      </c>
      <c r="C8" t="str">
        <f>_xlfn.XLOOKUP(tbEntrada[[#This Row],[SKU]],tbCadastro[SKU],tbCadastro[Produto],"SKU não encontrado")</f>
        <v>Cabo USB-C Reforçado</v>
      </c>
      <c r="D8" s="5">
        <v>200</v>
      </c>
      <c r="E8" t="s">
        <v>70</v>
      </c>
      <c r="F8" t="s">
        <v>71</v>
      </c>
    </row>
    <row r="9" spans="1:6" x14ac:dyDescent="0.3">
      <c r="A9" s="1">
        <v>46059</v>
      </c>
      <c r="B9" t="s">
        <v>35</v>
      </c>
      <c r="C9" t="str">
        <f>_xlfn.XLOOKUP(tbEntrada[[#This Row],[SKU]],tbCadastro[SKU],tbCadastro[Produto],"SKU não encontrado")</f>
        <v>Power Bank 10000mAh</v>
      </c>
      <c r="D9" s="5">
        <v>70</v>
      </c>
      <c r="E9" t="s">
        <v>70</v>
      </c>
      <c r="F9" t="s">
        <v>71</v>
      </c>
    </row>
    <row r="10" spans="1:6" x14ac:dyDescent="0.3">
      <c r="A10" s="1">
        <v>46060</v>
      </c>
      <c r="B10" t="s">
        <v>39</v>
      </c>
      <c r="C10" t="str">
        <f>_xlfn.XLOOKUP(tbEntrada[[#This Row],[SKU]],tbCadastro[SKU],tbCadastro[Produto],"SKU não encontrado")</f>
        <v>Luminária LED Smart</v>
      </c>
      <c r="D10" s="5">
        <v>40</v>
      </c>
      <c r="E10" t="s">
        <v>72</v>
      </c>
      <c r="F10" t="s">
        <v>71</v>
      </c>
    </row>
    <row r="11" spans="1:6" x14ac:dyDescent="0.3">
      <c r="A11" s="1">
        <v>46060</v>
      </c>
      <c r="B11" t="s">
        <v>44</v>
      </c>
      <c r="C11" t="str">
        <f>_xlfn.XLOOKUP(tbEntrada[[#This Row],[SKU]],tbCadastro[SKU],tbCadastro[Produto],"SKU não encontrado")</f>
        <v>Tomada Inteligente Wi-Fi</v>
      </c>
      <c r="D11" s="5">
        <v>65</v>
      </c>
      <c r="E11" t="s">
        <v>72</v>
      </c>
      <c r="F11" t="s">
        <v>71</v>
      </c>
    </row>
    <row r="12" spans="1:6" x14ac:dyDescent="0.3">
      <c r="A12" s="1">
        <v>46061</v>
      </c>
      <c r="B12" t="s">
        <v>47</v>
      </c>
      <c r="C12" t="str">
        <f>_xlfn.XLOOKUP(tbEntrada[[#This Row],[SKU]],tbCadastro[SKU],tbCadastro[Produto],"SKU não encontrado")</f>
        <v>Roteador Wi-Fi Dual Band</v>
      </c>
      <c r="D12" s="5">
        <v>55</v>
      </c>
      <c r="E12" t="s">
        <v>73</v>
      </c>
      <c r="F12" t="s">
        <v>71</v>
      </c>
    </row>
    <row r="13" spans="1:6" x14ac:dyDescent="0.3">
      <c r="A13" s="1">
        <v>46061</v>
      </c>
      <c r="B13" t="s">
        <v>52</v>
      </c>
      <c r="C13" t="str">
        <f>_xlfn.XLOOKUP(tbEntrada[[#This Row],[SKU]],tbCadastro[SKU],tbCadastro[Produto],"SKU não encontrado")</f>
        <v>Repetidor de Sinal Wi-Fi</v>
      </c>
      <c r="D13" s="5">
        <v>75</v>
      </c>
      <c r="E13" t="s">
        <v>73</v>
      </c>
      <c r="F13" t="s">
        <v>71</v>
      </c>
    </row>
    <row r="14" spans="1:6" x14ac:dyDescent="0.3">
      <c r="A14" s="1">
        <v>46062</v>
      </c>
      <c r="B14" t="s">
        <v>55</v>
      </c>
      <c r="C14" t="str">
        <f>_xlfn.XLOOKUP(tbEntrada[[#This Row],[SKU]],tbCadastro[SKU],tbCadastro[Produto],"SKU não encontrado")</f>
        <v>SSD 480GB FastDisk</v>
      </c>
      <c r="D14" s="5">
        <v>90</v>
      </c>
      <c r="E14" t="s">
        <v>70</v>
      </c>
      <c r="F14" t="s">
        <v>71</v>
      </c>
    </row>
    <row r="15" spans="1:6" x14ac:dyDescent="0.3">
      <c r="A15" s="1">
        <v>46062</v>
      </c>
      <c r="B15" t="s">
        <v>60</v>
      </c>
      <c r="C15" t="str">
        <f>_xlfn.XLOOKUP(tbEntrada[[#This Row],[SKU]],tbCadastro[SKU],tbCadastro[Produto],"SKU não encontrado")</f>
        <v>Pendrive 64GB DataGo</v>
      </c>
      <c r="D15" s="5">
        <v>150</v>
      </c>
      <c r="E15" t="s">
        <v>70</v>
      </c>
      <c r="F15" t="s">
        <v>71</v>
      </c>
    </row>
    <row r="16" spans="1:6" x14ac:dyDescent="0.3">
      <c r="A16" s="1">
        <v>46063</v>
      </c>
      <c r="B16" t="s">
        <v>63</v>
      </c>
      <c r="C16" t="str">
        <f>_xlfn.XLOOKUP(tbEntrada[[#This Row],[SKU]],tbCadastro[SKU],tbCadastro[Produto],"SKU não encontrado")</f>
        <v>Hub USB 4 Portas</v>
      </c>
      <c r="D16" s="5">
        <v>110</v>
      </c>
      <c r="E16" t="s">
        <v>72</v>
      </c>
      <c r="F16" t="s">
        <v>71</v>
      </c>
    </row>
    <row r="17" spans="1:6" x14ac:dyDescent="0.3">
      <c r="A17" s="1">
        <v>46070</v>
      </c>
      <c r="B17" t="s">
        <v>7</v>
      </c>
      <c r="C17" t="str">
        <f>_xlfn.XLOOKUP(tbEntrada[[#This Row],[SKU]],tbCadastro[SKU],tbCadastro[Produto],"SKU não encontrado")</f>
        <v>Fone Bluetooth AirMax</v>
      </c>
      <c r="D17" s="5">
        <v>30</v>
      </c>
      <c r="E17" t="s">
        <v>73</v>
      </c>
      <c r="F17" t="s">
        <v>74</v>
      </c>
    </row>
    <row r="18" spans="1:6" x14ac:dyDescent="0.3">
      <c r="A18" s="1">
        <v>46070</v>
      </c>
      <c r="B18" t="s">
        <v>27</v>
      </c>
      <c r="C18" t="str">
        <f>_xlfn.XLOOKUP(tbEntrada[[#This Row],[SKU]],tbCadastro[SKU],tbCadastro[Produto],"SKU não encontrado")</f>
        <v>Carregador USB-C Turbo</v>
      </c>
      <c r="D18" s="5">
        <v>50</v>
      </c>
      <c r="E18" t="s">
        <v>70</v>
      </c>
      <c r="F18" t="s">
        <v>74</v>
      </c>
    </row>
    <row r="19" spans="1:6" x14ac:dyDescent="0.3">
      <c r="A19" s="1">
        <v>46071</v>
      </c>
      <c r="B19" t="s">
        <v>32</v>
      </c>
      <c r="C19" t="str">
        <f>_xlfn.XLOOKUP(tbEntrada[[#This Row],[SKU]],tbCadastro[SKU],tbCadastro[Produto],"SKU não encontrado")</f>
        <v>Cabo USB-C Reforçado</v>
      </c>
      <c r="D19" s="5">
        <v>100</v>
      </c>
      <c r="E19" t="s">
        <v>72</v>
      </c>
      <c r="F19" t="s">
        <v>74</v>
      </c>
    </row>
    <row r="20" spans="1:6" x14ac:dyDescent="0.3">
      <c r="A20" s="1">
        <v>46071</v>
      </c>
      <c r="B20" t="s">
        <v>55</v>
      </c>
      <c r="C20" t="str">
        <f>_xlfn.XLOOKUP(tbEntrada[[#This Row],[SKU]],tbCadastro[SKU],tbCadastro[Produto],"SKU não encontrado")</f>
        <v>SSD 480GB FastDisk</v>
      </c>
      <c r="D20" s="5">
        <v>40</v>
      </c>
      <c r="E20" t="s">
        <v>73</v>
      </c>
      <c r="F20" t="s">
        <v>74</v>
      </c>
    </row>
    <row r="21" spans="1:6" x14ac:dyDescent="0.3">
      <c r="A21" s="1">
        <v>46073</v>
      </c>
      <c r="B21" t="s">
        <v>60</v>
      </c>
      <c r="C21" t="str">
        <f>_xlfn.XLOOKUP(tbEntrada[[#This Row],[SKU]],tbCadastro[SKU],tbCadastro[Produto],"SKU não encontrado")</f>
        <v>Pendrive 64GB DataGo</v>
      </c>
      <c r="D21" s="5">
        <v>80</v>
      </c>
      <c r="E21" t="s">
        <v>70</v>
      </c>
      <c r="F21" t="s">
        <v>74</v>
      </c>
    </row>
    <row r="22" spans="1:6" x14ac:dyDescent="0.3">
      <c r="A22" s="1">
        <v>46074</v>
      </c>
      <c r="B22" t="s">
        <v>16</v>
      </c>
      <c r="C22" t="str">
        <f>_xlfn.XLOOKUP(tbEntrada[[#This Row],[SKU]],tbCadastro[SKU],tbCadastro[Produto],"SKU não encontrado")</f>
        <v>Mouse Gamer ProClick</v>
      </c>
      <c r="D22" s="5">
        <v>35</v>
      </c>
      <c r="E22" t="s">
        <v>72</v>
      </c>
      <c r="F22" t="s">
        <v>74</v>
      </c>
    </row>
    <row r="23" spans="1:6" x14ac:dyDescent="0.3">
      <c r="A23" s="1">
        <v>46075</v>
      </c>
      <c r="B23" t="s">
        <v>44</v>
      </c>
      <c r="C23" t="str">
        <f>_xlfn.XLOOKUP(tbEntrada[[#This Row],[SKU]],tbCadastro[SKU],tbCadastro[Produto],"SKU não encontrado")</f>
        <v>Tomada Inteligente Wi-Fi</v>
      </c>
      <c r="D23" s="5">
        <v>25</v>
      </c>
      <c r="E23" t="s">
        <v>73</v>
      </c>
      <c r="F23" t="s">
        <v>74</v>
      </c>
    </row>
    <row r="24" spans="1:6" x14ac:dyDescent="0.3">
      <c r="A24" s="1">
        <v>46076</v>
      </c>
      <c r="B24" t="s">
        <v>52</v>
      </c>
      <c r="C24" t="str">
        <f>_xlfn.XLOOKUP(tbEntrada[[#This Row],[SKU]],tbCadastro[SKU],tbCadastro[Produto],"SKU não encontrado")</f>
        <v>Repetidor de Sinal Wi-Fi</v>
      </c>
      <c r="D24" s="5">
        <v>30</v>
      </c>
      <c r="E24" t="s">
        <v>70</v>
      </c>
      <c r="F24" t="s">
        <v>74</v>
      </c>
    </row>
    <row r="25" spans="1:6" x14ac:dyDescent="0.3">
      <c r="A25" s="1">
        <v>46077</v>
      </c>
      <c r="B25" t="s">
        <v>63</v>
      </c>
      <c r="C25" t="str">
        <f>_xlfn.XLOOKUP(tbEntrada[[#This Row],[SKU]],tbCadastro[SKU],tbCadastro[Produto],"SKU não encontrado")</f>
        <v>Hub USB 4 Portas</v>
      </c>
      <c r="D25" s="5">
        <v>45</v>
      </c>
      <c r="E25" t="s">
        <v>72</v>
      </c>
      <c r="F25" t="s">
        <v>74</v>
      </c>
    </row>
    <row r="26" spans="1:6" x14ac:dyDescent="0.3">
      <c r="A26" s="1">
        <v>46078</v>
      </c>
      <c r="B26" t="s">
        <v>35</v>
      </c>
      <c r="C26" t="str">
        <f>_xlfn.XLOOKUP(tbEntrada[[#This Row],[SKU]],tbCadastro[SKU],tbCadastro[Produto],"SKU não encontrado")</f>
        <v>Power Bank 10000mAh</v>
      </c>
      <c r="D26" s="5">
        <v>20</v>
      </c>
      <c r="E26" t="s">
        <v>73</v>
      </c>
      <c r="F26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D9DB-6B87-4ADF-B6B1-7040B728B6B2}">
  <dimension ref="A1:F36"/>
  <sheetViews>
    <sheetView workbookViewId="0">
      <pane ySplit="1" topLeftCell="A8" activePane="bottomLeft" state="frozen"/>
      <selection pane="bottomLeft" activeCell="F36" sqref="F36"/>
    </sheetView>
  </sheetViews>
  <sheetFormatPr defaultRowHeight="14.4" x14ac:dyDescent="0.3"/>
  <cols>
    <col min="1" max="1" width="16.109375" style="1" customWidth="1"/>
    <col min="2" max="2" width="17.5546875" customWidth="1"/>
    <col min="3" max="3" width="20.5546875" customWidth="1"/>
    <col min="4" max="4" width="26.44140625" style="5" customWidth="1"/>
    <col min="5" max="5" width="24.21875" customWidth="1"/>
    <col min="6" max="6" width="26.44140625" customWidth="1"/>
  </cols>
  <sheetData>
    <row r="1" spans="1:6" x14ac:dyDescent="0.3">
      <c r="A1" s="1" t="s">
        <v>66</v>
      </c>
      <c r="B1" t="s">
        <v>0</v>
      </c>
      <c r="C1" t="s">
        <v>1</v>
      </c>
      <c r="D1" s="5" t="s">
        <v>75</v>
      </c>
      <c r="E1" t="s">
        <v>76</v>
      </c>
      <c r="F1" t="s">
        <v>69</v>
      </c>
    </row>
    <row r="2" spans="1:6" x14ac:dyDescent="0.3">
      <c r="A2" s="1">
        <v>46059</v>
      </c>
      <c r="B2" t="s">
        <v>7</v>
      </c>
      <c r="C2" t="s">
        <v>8</v>
      </c>
      <c r="D2" s="5">
        <v>12</v>
      </c>
      <c r="E2" t="s">
        <v>77</v>
      </c>
      <c r="F2" t="s">
        <v>78</v>
      </c>
    </row>
    <row r="3" spans="1:6" x14ac:dyDescent="0.3">
      <c r="A3" s="1">
        <v>46059</v>
      </c>
      <c r="B3" t="s">
        <v>12</v>
      </c>
      <c r="C3" t="s">
        <v>13</v>
      </c>
      <c r="D3" s="5">
        <v>8</v>
      </c>
      <c r="E3" t="s">
        <v>77</v>
      </c>
      <c r="F3" t="s">
        <v>78</v>
      </c>
    </row>
    <row r="4" spans="1:6" x14ac:dyDescent="0.3">
      <c r="A4" s="1">
        <v>46060</v>
      </c>
      <c r="B4" t="s">
        <v>16</v>
      </c>
      <c r="C4" t="s">
        <v>17</v>
      </c>
      <c r="D4" s="5">
        <v>20</v>
      </c>
      <c r="E4" t="s">
        <v>79</v>
      </c>
      <c r="F4" t="s">
        <v>80</v>
      </c>
    </row>
    <row r="5" spans="1:6" x14ac:dyDescent="0.3">
      <c r="A5" s="1">
        <v>46060</v>
      </c>
      <c r="B5" t="s">
        <v>21</v>
      </c>
      <c r="C5" t="s">
        <v>22</v>
      </c>
      <c r="D5" s="5">
        <v>10</v>
      </c>
      <c r="E5" t="s">
        <v>79</v>
      </c>
      <c r="F5" t="s">
        <v>80</v>
      </c>
    </row>
    <row r="6" spans="1:6" x14ac:dyDescent="0.3">
      <c r="A6" s="1">
        <v>46061</v>
      </c>
      <c r="B6" t="s">
        <v>24</v>
      </c>
      <c r="C6" t="s">
        <v>25</v>
      </c>
      <c r="D6" s="5">
        <v>15</v>
      </c>
      <c r="E6" t="s">
        <v>77</v>
      </c>
      <c r="F6" t="s">
        <v>78</v>
      </c>
    </row>
    <row r="7" spans="1:6" x14ac:dyDescent="0.3">
      <c r="A7" s="1">
        <v>46061</v>
      </c>
      <c r="B7" t="s">
        <v>27</v>
      </c>
      <c r="C7" t="s">
        <v>28</v>
      </c>
      <c r="D7" s="5">
        <v>35</v>
      </c>
      <c r="E7" t="s">
        <v>79</v>
      </c>
      <c r="F7" t="s">
        <v>80</v>
      </c>
    </row>
    <row r="8" spans="1:6" x14ac:dyDescent="0.3">
      <c r="A8" s="1">
        <v>46062</v>
      </c>
      <c r="B8" t="s">
        <v>32</v>
      </c>
      <c r="C8" t="str">
        <f>_xlfn.XLOOKUP(tbSaida[[#This Row],[SKU]],tbCadastro[SKU],tbCadastro[Produto],"SKU não encontrado")</f>
        <v>Cabo USB-C Reforçado</v>
      </c>
      <c r="D8" s="5">
        <v>70</v>
      </c>
      <c r="E8" t="s">
        <v>77</v>
      </c>
      <c r="F8" t="s">
        <v>78</v>
      </c>
    </row>
    <row r="9" spans="1:6" x14ac:dyDescent="0.3">
      <c r="A9" s="1">
        <v>46062</v>
      </c>
      <c r="B9" t="s">
        <v>35</v>
      </c>
      <c r="C9" t="str">
        <f>_xlfn.XLOOKUP(tbSaida[[#This Row],[SKU]],tbCadastro[SKU],tbCadastro[Produto],"SKU não encontrado")</f>
        <v>Power Bank 10000mAh</v>
      </c>
      <c r="D9" s="5">
        <v>18</v>
      </c>
      <c r="E9" t="s">
        <v>79</v>
      </c>
      <c r="F9" t="s">
        <v>80</v>
      </c>
    </row>
    <row r="10" spans="1:6" x14ac:dyDescent="0.3">
      <c r="A10" s="1">
        <v>46063</v>
      </c>
      <c r="B10" t="s">
        <v>39</v>
      </c>
      <c r="C10" t="str">
        <f>_xlfn.XLOOKUP(tbSaida[[#This Row],[SKU]],tbCadastro[SKU],tbCadastro[Produto],"SKU não encontrado")</f>
        <v>Luminária LED Smart</v>
      </c>
      <c r="D10" s="5">
        <v>9</v>
      </c>
      <c r="E10" t="s">
        <v>77</v>
      </c>
      <c r="F10" t="s">
        <v>78</v>
      </c>
    </row>
    <row r="11" spans="1:6" x14ac:dyDescent="0.3">
      <c r="A11" s="1">
        <v>46063</v>
      </c>
      <c r="B11" t="s">
        <v>44</v>
      </c>
      <c r="C11" t="str">
        <f>_xlfn.XLOOKUP(tbSaida[[#This Row],[SKU]],tbCadastro[SKU],tbCadastro[Produto],"SKU não encontrado")</f>
        <v>Tomada Inteligente Wi-Fi</v>
      </c>
      <c r="D11" s="5">
        <v>16</v>
      </c>
      <c r="E11" t="s">
        <v>79</v>
      </c>
      <c r="F11" t="s">
        <v>80</v>
      </c>
    </row>
    <row r="12" spans="1:6" x14ac:dyDescent="0.3">
      <c r="A12" s="1">
        <v>46064</v>
      </c>
      <c r="B12" t="s">
        <v>47</v>
      </c>
      <c r="C12" t="str">
        <f>_xlfn.XLOOKUP(tbSaida[[#This Row],[SKU]],tbCadastro[SKU],tbCadastro[Produto],"SKU não encontrado")</f>
        <v>Roteador Wi-Fi Dual Band</v>
      </c>
      <c r="D12" s="5">
        <v>14</v>
      </c>
      <c r="E12" t="s">
        <v>77</v>
      </c>
      <c r="F12" t="s">
        <v>78</v>
      </c>
    </row>
    <row r="13" spans="1:6" x14ac:dyDescent="0.3">
      <c r="A13" s="1">
        <v>46064</v>
      </c>
      <c r="B13" t="s">
        <v>52</v>
      </c>
      <c r="C13" t="str">
        <f>_xlfn.XLOOKUP(tbSaida[[#This Row],[SKU]],tbCadastro[SKU],tbCadastro[Produto],"SKU não encontrado")</f>
        <v>Repetidor de Sinal Wi-Fi</v>
      </c>
      <c r="D13" s="5">
        <v>22</v>
      </c>
      <c r="E13" t="s">
        <v>79</v>
      </c>
      <c r="F13" t="s">
        <v>80</v>
      </c>
    </row>
    <row r="14" spans="1:6" x14ac:dyDescent="0.3">
      <c r="A14" s="1">
        <v>46065</v>
      </c>
      <c r="B14" t="s">
        <v>55</v>
      </c>
      <c r="C14" t="str">
        <f>_xlfn.XLOOKUP(tbSaida[[#This Row],[SKU]],tbCadastro[SKU],tbCadastro[Produto],"SKU não encontrado")</f>
        <v>SSD 480GB FastDisk</v>
      </c>
      <c r="D14" s="5">
        <v>30</v>
      </c>
      <c r="E14" t="s">
        <v>79</v>
      </c>
      <c r="F14" t="s">
        <v>80</v>
      </c>
    </row>
    <row r="15" spans="1:6" x14ac:dyDescent="0.3">
      <c r="A15" s="1">
        <v>46065</v>
      </c>
      <c r="B15" t="s">
        <v>60</v>
      </c>
      <c r="C15" t="str">
        <f>_xlfn.XLOOKUP(tbSaida[[#This Row],[SKU]],tbCadastro[SKU],tbCadastro[Produto],"SKU não encontrado")</f>
        <v>Pendrive 64GB DataGo</v>
      </c>
      <c r="D15" s="5">
        <v>60</v>
      </c>
      <c r="E15" t="s">
        <v>77</v>
      </c>
      <c r="F15" t="s">
        <v>78</v>
      </c>
    </row>
    <row r="16" spans="1:6" x14ac:dyDescent="0.3">
      <c r="A16" s="1">
        <v>46066</v>
      </c>
      <c r="B16" t="s">
        <v>63</v>
      </c>
      <c r="C16" t="str">
        <f>_xlfn.XLOOKUP(tbSaida[[#This Row],[SKU]],tbCadastro[SKU],tbCadastro[Produto],"SKU não encontrado")</f>
        <v>Hub USB 4 Portas</v>
      </c>
      <c r="D16" s="5">
        <v>28</v>
      </c>
      <c r="E16" t="s">
        <v>79</v>
      </c>
      <c r="F16" t="s">
        <v>80</v>
      </c>
    </row>
    <row r="17" spans="1:6" x14ac:dyDescent="0.3">
      <c r="A17" s="1">
        <v>46071</v>
      </c>
      <c r="B17" t="s">
        <v>7</v>
      </c>
      <c r="C17" t="str">
        <f>_xlfn.XLOOKUP(tbSaida[[#This Row],[SKU]],tbCadastro[SKU],tbCadastro[Produto],"SKU não encontrado")</f>
        <v>Fone Bluetooth AirMax</v>
      </c>
      <c r="D17" s="5">
        <v>25</v>
      </c>
      <c r="E17" t="s">
        <v>79</v>
      </c>
      <c r="F17" t="s">
        <v>81</v>
      </c>
    </row>
    <row r="18" spans="1:6" x14ac:dyDescent="0.3">
      <c r="A18" s="1">
        <v>46071</v>
      </c>
      <c r="B18" t="s">
        <v>16</v>
      </c>
      <c r="C18" t="str">
        <f>_xlfn.XLOOKUP(tbSaida[[#This Row],[SKU]],tbCadastro[SKU],tbCadastro[Produto],"SKU não encontrado")</f>
        <v>Mouse Gamer ProClick</v>
      </c>
      <c r="D18" s="5">
        <v>32</v>
      </c>
      <c r="E18" t="s">
        <v>77</v>
      </c>
      <c r="F18" t="s">
        <v>78</v>
      </c>
    </row>
    <row r="19" spans="1:6" x14ac:dyDescent="0.3">
      <c r="A19" s="1">
        <v>46072</v>
      </c>
      <c r="B19" t="s">
        <v>27</v>
      </c>
      <c r="C19" t="str">
        <f>_xlfn.XLOOKUP(tbSaida[[#This Row],[SKU]],tbCadastro[SKU],tbCadastro[Produto],"SKU não encontrado")</f>
        <v>Carregador USB-C Turbo</v>
      </c>
      <c r="D19" s="5">
        <v>48</v>
      </c>
      <c r="E19" t="s">
        <v>79</v>
      </c>
      <c r="F19" t="s">
        <v>81</v>
      </c>
    </row>
    <row r="20" spans="1:6" x14ac:dyDescent="0.3">
      <c r="A20" s="1">
        <v>46072</v>
      </c>
      <c r="B20" t="s">
        <v>32</v>
      </c>
      <c r="C20" t="str">
        <f>_xlfn.XLOOKUP(tbSaida[[#This Row],[SKU]],tbCadastro[SKU],tbCadastro[Produto],"SKU não encontrado")</f>
        <v>Cabo USB-C Reforçado</v>
      </c>
      <c r="D20" s="5">
        <v>95</v>
      </c>
      <c r="E20" t="s">
        <v>79</v>
      </c>
      <c r="F20" t="s">
        <v>81</v>
      </c>
    </row>
    <row r="21" spans="1:6" x14ac:dyDescent="0.3">
      <c r="A21" s="1">
        <v>46073</v>
      </c>
      <c r="B21" t="s">
        <v>55</v>
      </c>
      <c r="C21" t="str">
        <f>_xlfn.XLOOKUP(tbSaida[[#This Row],[SKU]],tbCadastro[SKU],tbCadastro[Produto],"SKU não encontrado")</f>
        <v>SSD 480GB FastDisk</v>
      </c>
      <c r="D21" s="5">
        <v>42</v>
      </c>
      <c r="E21" t="s">
        <v>77</v>
      </c>
      <c r="F21" t="s">
        <v>78</v>
      </c>
    </row>
    <row r="22" spans="1:6" x14ac:dyDescent="0.3">
      <c r="A22" s="1">
        <v>46073</v>
      </c>
      <c r="B22" t="s">
        <v>60</v>
      </c>
      <c r="C22" t="str">
        <f>_xlfn.XLOOKUP(tbSaida[[#This Row],[SKU]],tbCadastro[SKU],tbCadastro[Produto],"SKU não encontrado")</f>
        <v>Pendrive 64GB DataGo</v>
      </c>
      <c r="D22" s="5">
        <v>110</v>
      </c>
      <c r="E22" t="s">
        <v>79</v>
      </c>
      <c r="F22" t="s">
        <v>81</v>
      </c>
    </row>
    <row r="23" spans="1:6" x14ac:dyDescent="0.3">
      <c r="A23" s="1">
        <v>46074</v>
      </c>
      <c r="B23" t="s">
        <v>44</v>
      </c>
      <c r="C23" t="str">
        <f>_xlfn.XLOOKUP(tbSaida[[#This Row],[SKU]],tbCadastro[SKU],tbCadastro[Produto],"SKU não encontrado")</f>
        <v>Tomada Inteligente Wi-Fi</v>
      </c>
      <c r="D23" s="5">
        <v>20</v>
      </c>
      <c r="E23" t="s">
        <v>77</v>
      </c>
      <c r="F23" t="s">
        <v>78</v>
      </c>
    </row>
    <row r="24" spans="1:6" x14ac:dyDescent="0.3">
      <c r="A24" s="1">
        <v>46075</v>
      </c>
      <c r="B24" t="s">
        <v>52</v>
      </c>
      <c r="C24" t="str">
        <f>_xlfn.XLOOKUP(tbSaida[[#This Row],[SKU]],tbCadastro[SKU],tbCadastro[Produto],"SKU não encontrado")</f>
        <v>Repetidor de Sinal Wi-Fi</v>
      </c>
      <c r="D24" s="5">
        <v>35</v>
      </c>
      <c r="E24" t="s">
        <v>79</v>
      </c>
      <c r="F24" t="s">
        <v>80</v>
      </c>
    </row>
    <row r="25" spans="1:6" x14ac:dyDescent="0.3">
      <c r="A25" s="1">
        <v>46076</v>
      </c>
      <c r="B25" t="s">
        <v>63</v>
      </c>
      <c r="C25" t="str">
        <f>_xlfn.XLOOKUP(tbSaida[[#This Row],[SKU]],tbCadastro[SKU],tbCadastro[Produto],"SKU não encontrado")</f>
        <v>Hub USB 4 Portas</v>
      </c>
      <c r="D25" s="5">
        <v>50</v>
      </c>
      <c r="E25" t="s">
        <v>77</v>
      </c>
      <c r="F25" t="s">
        <v>78</v>
      </c>
    </row>
    <row r="26" spans="1:6" x14ac:dyDescent="0.3">
      <c r="A26" s="1">
        <v>46077</v>
      </c>
      <c r="B26" t="s">
        <v>12</v>
      </c>
      <c r="C26" t="str">
        <f>_xlfn.XLOOKUP(tbSaida[[#This Row],[SKU]],tbCadastro[SKU],tbCadastro[Produto],"SKU não encontrado")</f>
        <v>Caixa de Som MiniBass</v>
      </c>
      <c r="D26" s="5">
        <v>18</v>
      </c>
      <c r="E26" t="s">
        <v>79</v>
      </c>
      <c r="F26" t="s">
        <v>80</v>
      </c>
    </row>
    <row r="27" spans="1:6" x14ac:dyDescent="0.3">
      <c r="A27" s="1">
        <v>46078</v>
      </c>
      <c r="B27" t="s">
        <v>21</v>
      </c>
      <c r="C27" t="str">
        <f>_xlfn.XLOOKUP(tbSaida[[#This Row],[SKU]],tbCadastro[SKU],tbCadastro[Produto],"SKU não encontrado")</f>
        <v>Teclado Mecânico KeyStorm</v>
      </c>
      <c r="D27" s="5">
        <v>22</v>
      </c>
      <c r="E27" t="s">
        <v>77</v>
      </c>
      <c r="F27" t="s">
        <v>78</v>
      </c>
    </row>
    <row r="28" spans="1:6" x14ac:dyDescent="0.3">
      <c r="A28" s="1">
        <v>46079</v>
      </c>
      <c r="B28" t="s">
        <v>24</v>
      </c>
      <c r="C28" t="str">
        <f>_xlfn.XLOOKUP(tbSaida[[#This Row],[SKU]],tbCadastro[SKU],tbCadastro[Produto],"SKU não encontrado")</f>
        <v>Webcam Full HD VisionCam</v>
      </c>
      <c r="D28" s="5">
        <v>25</v>
      </c>
      <c r="E28" t="s">
        <v>79</v>
      </c>
      <c r="F28" t="s">
        <v>80</v>
      </c>
    </row>
    <row r="29" spans="1:6" x14ac:dyDescent="0.3">
      <c r="A29" s="1">
        <v>46080</v>
      </c>
      <c r="B29" t="s">
        <v>35</v>
      </c>
      <c r="C29" t="str">
        <f>_xlfn.XLOOKUP(tbSaida[[#This Row],[SKU]],tbCadastro[SKU],tbCadastro[Produto],"SKU não encontrado")</f>
        <v>Power Bank 10000mAh</v>
      </c>
      <c r="D29" s="5">
        <v>40</v>
      </c>
      <c r="E29" t="s">
        <v>77</v>
      </c>
      <c r="F29" t="s">
        <v>78</v>
      </c>
    </row>
    <row r="30" spans="1:6" x14ac:dyDescent="0.3">
      <c r="A30" s="1">
        <v>46081</v>
      </c>
      <c r="B30" t="s">
        <v>39</v>
      </c>
      <c r="C30" t="str">
        <f>_xlfn.XLOOKUP(tbSaida[[#This Row],[SKU]],tbCadastro[SKU],tbCadastro[Produto],"SKU não encontrado")</f>
        <v>Luminária LED Smart</v>
      </c>
      <c r="D30" s="5">
        <v>18</v>
      </c>
      <c r="E30" t="s">
        <v>79</v>
      </c>
      <c r="F30" t="s">
        <v>80</v>
      </c>
    </row>
    <row r="31" spans="1:6" x14ac:dyDescent="0.3">
      <c r="A31" s="1">
        <v>46081</v>
      </c>
      <c r="B31" t="s">
        <v>47</v>
      </c>
      <c r="C31" t="str">
        <f>_xlfn.XLOOKUP(tbSaida[[#This Row],[SKU]],tbCadastro[SKU],tbCadastro[Produto],"SKU não encontrado")</f>
        <v>Roteador Wi-Fi Dual Band</v>
      </c>
      <c r="D31" s="5">
        <v>26</v>
      </c>
      <c r="E31" t="s">
        <v>79</v>
      </c>
      <c r="F31" t="s">
        <v>80</v>
      </c>
    </row>
    <row r="36" spans="6:6" x14ac:dyDescent="0.3">
      <c r="F36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1823-38DC-4F13-BD7D-D83D5208BED0}">
  <dimension ref="A1:I16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2" max="2" width="27.33203125" customWidth="1"/>
    <col min="3" max="3" width="26.21875" customWidth="1"/>
    <col min="4" max="4" width="15.33203125" style="6" customWidth="1"/>
    <col min="5" max="5" width="15.33203125" style="5" customWidth="1"/>
    <col min="6" max="6" width="16.21875" style="5" customWidth="1"/>
    <col min="7" max="7" width="15.21875" style="5" customWidth="1"/>
    <col min="8" max="8" width="25.109375" customWidth="1"/>
    <col min="9" max="9" width="18.44140625" customWidth="1"/>
  </cols>
  <sheetData>
    <row r="1" spans="1:9" x14ac:dyDescent="0.3">
      <c r="A1" t="s">
        <v>0</v>
      </c>
      <c r="B1" t="s">
        <v>1</v>
      </c>
      <c r="C1" t="s">
        <v>3</v>
      </c>
      <c r="D1" s="6" t="s">
        <v>4</v>
      </c>
      <c r="E1" s="5" t="s">
        <v>82</v>
      </c>
      <c r="F1" s="5" t="s">
        <v>83</v>
      </c>
      <c r="G1" s="5" t="s">
        <v>84</v>
      </c>
      <c r="H1" t="s">
        <v>85</v>
      </c>
      <c r="I1" t="s">
        <v>86</v>
      </c>
    </row>
    <row r="2" spans="1:9" x14ac:dyDescent="0.3">
      <c r="A2" t="s">
        <v>7</v>
      </c>
      <c r="B2" t="str">
        <f>_xlfn.XLOOKUP(tbResumo[[#This Row],[SKU]],tbCadastro[SKU],tbCadastro[Produto],"Não encontrado")</f>
        <v>Fone Bluetooth AirMax</v>
      </c>
      <c r="C2" t="str">
        <f>_xlfn.XLOOKUP(tbResumo[[#This Row],[SKU]],tbCadastro[SKU],tbCadastro[Categoria],"Não encontrado")</f>
        <v>Áudio</v>
      </c>
      <c r="D2" s="6">
        <f>_xlfn.XLOOKUP(tbResumo[[#This Row],[SKU]],tbCadastro[SKU],tbCadastro[Preço Unitário],0)</f>
        <v>129.9</v>
      </c>
      <c r="E2" s="5">
        <f>SUMIFS(tbEntrada[Quantidade Entrada],tbEntrada[SKU],tbResumo[[#This Row],[SKU]])</f>
        <v>110</v>
      </c>
      <c r="F2" s="5">
        <f>SUMIFS(tbSaida[Quantidade Saída],tbSaida[SKU],tbResumo[[#This Row],[SKU]])</f>
        <v>37</v>
      </c>
      <c r="G2" s="5">
        <f>tbResumo[[#This Row],[Total Entradas]]-tbResumo[[#This Row],[Total Saídas]]</f>
        <v>73</v>
      </c>
      <c r="H2" s="6">
        <f>tbResumo[[#This Row],[Saldo Atual]]*tbResumo[[#This Row],[Preço Unitário]]</f>
        <v>9482.7000000000007</v>
      </c>
      <c r="I2" t="str" cm="1">
        <f t="array" ref="I2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3" spans="1:9" x14ac:dyDescent="0.3">
      <c r="A3" t="s">
        <v>12</v>
      </c>
      <c r="B3" t="str">
        <f>_xlfn.XLOOKUP(tbResumo[[#This Row],[SKU]],tbCadastro[SKU],tbCadastro[Produto],"Não encontrado")</f>
        <v>Caixa de Som MiniBass</v>
      </c>
      <c r="C3" t="str">
        <f>_xlfn.XLOOKUP(tbResumo[[#This Row],[SKU]],tbCadastro[SKU],tbCadastro[Categoria],"Não encontrado")</f>
        <v>Áudio</v>
      </c>
      <c r="D3" s="6">
        <f>_xlfn.XLOOKUP(tbResumo[[#This Row],[SKU]],tbCadastro[SKU],tbCadastro[Preço Unitário],0)</f>
        <v>89.9</v>
      </c>
      <c r="E3" s="5">
        <f>SUMIFS(tbEntrada[Quantidade Entrada],tbEntrada[SKU],tbResumo[[#This Row],[SKU]])</f>
        <v>60</v>
      </c>
      <c r="F3" s="5">
        <f>SUMIFS(tbSaida[Quantidade Saída],tbSaida[SKU],tbResumo[[#This Row],[SKU]])</f>
        <v>26</v>
      </c>
      <c r="G3" s="5">
        <f>tbResumo[[#This Row],[Total Entradas]]-tbResumo[[#This Row],[Total Saídas]]</f>
        <v>34</v>
      </c>
      <c r="H3" s="6">
        <f>tbResumo[[#This Row],[Saldo Atual]]*tbResumo[[#This Row],[Preço Unitário]]</f>
        <v>3056.6000000000004</v>
      </c>
      <c r="I3" t="str" cm="1">
        <f t="array" ref="I3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4" spans="1:9" x14ac:dyDescent="0.3">
      <c r="A4" t="s">
        <v>16</v>
      </c>
      <c r="B4" t="str">
        <f>_xlfn.XLOOKUP(tbResumo[[#This Row],[SKU]],tbCadastro[SKU],tbCadastro[Produto],"Não encontrado")</f>
        <v>Mouse Gamer ProClick</v>
      </c>
      <c r="C4" t="str">
        <f>_xlfn.XLOOKUP(tbResumo[[#This Row],[SKU]],tbCadastro[SKU],tbCadastro[Categoria],"Não encontrado")</f>
        <v>Periféricos</v>
      </c>
      <c r="D4" s="6">
        <f>_xlfn.XLOOKUP(tbResumo[[#This Row],[SKU]],tbCadastro[SKU],tbCadastro[Preço Unitário],0)</f>
        <v>79.900000000000006</v>
      </c>
      <c r="E4" s="5">
        <f>SUMIFS(tbEntrada[Quantidade Entrada],tbEntrada[SKU],tbResumo[[#This Row],[SKU]])</f>
        <v>135</v>
      </c>
      <c r="F4" s="5">
        <f>SUMIFS(tbSaida[Quantidade Saída],tbSaida[SKU],tbResumo[[#This Row],[SKU]])</f>
        <v>52</v>
      </c>
      <c r="G4" s="5">
        <f>tbResumo[[#This Row],[Total Entradas]]-tbResumo[[#This Row],[Total Saídas]]</f>
        <v>83</v>
      </c>
      <c r="H4" s="6">
        <f>tbResumo[[#This Row],[Saldo Atual]]*tbResumo[[#This Row],[Preço Unitário]]</f>
        <v>6631.7000000000007</v>
      </c>
      <c r="I4" t="str" cm="1">
        <f t="array" ref="I4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5" spans="1:9" x14ac:dyDescent="0.3">
      <c r="A5" t="s">
        <v>21</v>
      </c>
      <c r="B5" t="str">
        <f>_xlfn.XLOOKUP(tbResumo[[#This Row],[SKU]],tbCadastro[SKU],tbCadastro[Produto],"Não encontrado")</f>
        <v>Teclado Mecânico KeyStorm</v>
      </c>
      <c r="C5" t="str">
        <f>_xlfn.XLOOKUP(tbResumo[[#This Row],[SKU]],tbCadastro[SKU],tbCadastro[Categoria],"Não encontrado")</f>
        <v>Periféricos</v>
      </c>
      <c r="D5" s="6">
        <f>_xlfn.XLOOKUP(tbResumo[[#This Row],[SKU]],tbCadastro[SKU],tbCadastro[Preço Unitário],0)</f>
        <v>219.9</v>
      </c>
      <c r="E5" s="5">
        <f>SUMIFS(tbEntrada[Quantidade Entrada],tbEntrada[SKU],tbResumo[[#This Row],[SKU]])</f>
        <v>45</v>
      </c>
      <c r="F5" s="5">
        <f>SUMIFS(tbSaida[Quantidade Saída],tbSaida[SKU],tbResumo[[#This Row],[SKU]])</f>
        <v>32</v>
      </c>
      <c r="G5" s="5">
        <f>tbResumo[[#This Row],[Total Entradas]]-tbResumo[[#This Row],[Total Saídas]]</f>
        <v>13</v>
      </c>
      <c r="H5" s="6">
        <f>tbResumo[[#This Row],[Saldo Atual]]*tbResumo[[#This Row],[Preço Unitário]]</f>
        <v>2858.7000000000003</v>
      </c>
      <c r="I5" t="str" cm="1">
        <f t="array" ref="I5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Crítico</v>
      </c>
    </row>
    <row r="6" spans="1:9" x14ac:dyDescent="0.3">
      <c r="A6" t="s">
        <v>24</v>
      </c>
      <c r="B6" t="str">
        <f>_xlfn.XLOOKUP(tbResumo[[#This Row],[SKU]],tbCadastro[SKU],tbCadastro[Produto],"Não encontrado")</f>
        <v>Webcam Full HD VisionCam</v>
      </c>
      <c r="C6" t="str">
        <f>_xlfn.XLOOKUP(tbResumo[[#This Row],[SKU]],tbCadastro[SKU],tbCadastro[Categoria],"Não encontrado")</f>
        <v>Periféricos</v>
      </c>
      <c r="D6" s="6">
        <f>_xlfn.XLOOKUP(tbResumo[[#This Row],[SKU]],tbCadastro[SKU],tbCadastro[Preço Unitário],0)</f>
        <v>159.9</v>
      </c>
      <c r="E6" s="5">
        <f>SUMIFS(tbEntrada[Quantidade Entrada],tbEntrada[SKU],tbResumo[[#This Row],[SKU]])</f>
        <v>50</v>
      </c>
      <c r="F6" s="5">
        <f>SUMIFS(tbSaida[Quantidade Saída],tbSaida[SKU],tbResumo[[#This Row],[SKU]])</f>
        <v>40</v>
      </c>
      <c r="G6" s="5">
        <f>tbResumo[[#This Row],[Total Entradas]]-tbResumo[[#This Row],[Total Saídas]]</f>
        <v>10</v>
      </c>
      <c r="H6" s="6">
        <f>tbResumo[[#This Row],[Saldo Atual]]*tbResumo[[#This Row],[Preço Unitário]]</f>
        <v>1599</v>
      </c>
      <c r="I6" t="str" cm="1">
        <f t="array" ref="I6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Crítico</v>
      </c>
    </row>
    <row r="7" spans="1:9" x14ac:dyDescent="0.3">
      <c r="A7" t="s">
        <v>27</v>
      </c>
      <c r="B7" t="str">
        <f>_xlfn.XLOOKUP(tbResumo[[#This Row],[SKU]],tbCadastro[SKU],tbCadastro[Produto],"Não encontrado")</f>
        <v>Carregador USB-C Turbo</v>
      </c>
      <c r="C7" t="str">
        <f>_xlfn.XLOOKUP(tbResumo[[#This Row],[SKU]],tbCadastro[SKU],tbCadastro[Categoria],"Não encontrado")</f>
        <v>Acessórios</v>
      </c>
      <c r="D7" s="6">
        <f>_xlfn.XLOOKUP(tbResumo[[#This Row],[SKU]],tbCadastro[SKU],tbCadastro[Preço Unitário],0)</f>
        <v>69.900000000000006</v>
      </c>
      <c r="E7" s="5">
        <f>SUMIFS(tbEntrada[Quantidade Entrada],tbEntrada[SKU],tbResumo[[#This Row],[SKU]])</f>
        <v>170</v>
      </c>
      <c r="F7" s="5">
        <f>SUMIFS(tbSaida[Quantidade Saída],tbSaida[SKU],tbResumo[[#This Row],[SKU]])</f>
        <v>83</v>
      </c>
      <c r="G7" s="5">
        <f>tbResumo[[#This Row],[Total Entradas]]-tbResumo[[#This Row],[Total Saídas]]</f>
        <v>87</v>
      </c>
      <c r="H7" s="6">
        <f>tbResumo[[#This Row],[Saldo Atual]]*tbResumo[[#This Row],[Preço Unitário]]</f>
        <v>6081.3</v>
      </c>
      <c r="I7" t="str" cm="1">
        <f t="array" ref="I7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8" spans="1:9" x14ac:dyDescent="0.3">
      <c r="A8" t="s">
        <v>32</v>
      </c>
      <c r="B8" t="str">
        <f>_xlfn.XLOOKUP(tbResumo[[#This Row],[SKU]],tbCadastro[SKU],tbCadastro[Produto],"Não encontrado")</f>
        <v>Cabo USB-C Reforçado</v>
      </c>
      <c r="C8" t="str">
        <f>_xlfn.XLOOKUP(tbResumo[[#This Row],[SKU]],tbCadastro[SKU],tbCadastro[Categoria],"Não encontrado")</f>
        <v>Acessórios</v>
      </c>
      <c r="D8" s="6">
        <f>_xlfn.XLOOKUP(tbResumo[[#This Row],[SKU]],tbCadastro[SKU],tbCadastro[Preço Unitário],0)</f>
        <v>29.9</v>
      </c>
      <c r="E8" s="5">
        <f>SUMIFS(tbEntrada[Quantidade Entrada],tbEntrada[SKU],tbResumo[[#This Row],[SKU]])</f>
        <v>300</v>
      </c>
      <c r="F8" s="5">
        <f>SUMIFS(tbSaida[Quantidade Saída],tbSaida[SKU],tbResumo[[#This Row],[SKU]])</f>
        <v>165</v>
      </c>
      <c r="G8" s="5">
        <f>tbResumo[[#This Row],[Total Entradas]]-tbResumo[[#This Row],[Total Saídas]]</f>
        <v>135</v>
      </c>
      <c r="H8" s="6">
        <f>tbResumo[[#This Row],[Saldo Atual]]*tbResumo[[#This Row],[Preço Unitário]]</f>
        <v>4036.5</v>
      </c>
      <c r="I8" t="str" cm="1">
        <f t="array" ref="I8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Excesso</v>
      </c>
    </row>
    <row r="9" spans="1:9" x14ac:dyDescent="0.3">
      <c r="A9" t="s">
        <v>35</v>
      </c>
      <c r="B9" t="str">
        <f>_xlfn.XLOOKUP(tbResumo[[#This Row],[SKU]],tbCadastro[SKU],tbCadastro[Produto],"Não encontrado")</f>
        <v>Power Bank 10000mAh</v>
      </c>
      <c r="C9" t="str">
        <f>_xlfn.XLOOKUP(tbResumo[[#This Row],[SKU]],tbCadastro[SKU],tbCadastro[Categoria],"Não encontrado")</f>
        <v>Acessórios</v>
      </c>
      <c r="D9" s="6">
        <f>_xlfn.XLOOKUP(tbResumo[[#This Row],[SKU]],tbCadastro[SKU],tbCadastro[Preço Unitário],0)</f>
        <v>119.9</v>
      </c>
      <c r="E9" s="5">
        <f>SUMIFS(tbEntrada[Quantidade Entrada],tbEntrada[SKU],tbResumo[[#This Row],[SKU]])</f>
        <v>90</v>
      </c>
      <c r="F9" s="5">
        <f>SUMIFS(tbSaida[Quantidade Saída],tbSaida[SKU],tbResumo[[#This Row],[SKU]])</f>
        <v>58</v>
      </c>
      <c r="G9" s="5">
        <f>tbResumo[[#This Row],[Total Entradas]]-tbResumo[[#This Row],[Total Saídas]]</f>
        <v>32</v>
      </c>
      <c r="H9" s="6">
        <f>tbResumo[[#This Row],[Saldo Atual]]*tbResumo[[#This Row],[Preço Unitário]]</f>
        <v>3836.8</v>
      </c>
      <c r="I9" t="str" cm="1">
        <f t="array" ref="I9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10" spans="1:9" x14ac:dyDescent="0.3">
      <c r="A10" t="s">
        <v>39</v>
      </c>
      <c r="B10" t="str">
        <f>_xlfn.XLOOKUP(tbResumo[[#This Row],[SKU]],tbCadastro[SKU],tbCadastro[Produto],"Não encontrado")</f>
        <v>Luminária LED Smart</v>
      </c>
      <c r="C10" t="str">
        <f>_xlfn.XLOOKUP(tbResumo[[#This Row],[SKU]],tbCadastro[SKU],tbCadastro[Categoria],"Não encontrado")</f>
        <v>Casa Inteligente</v>
      </c>
      <c r="D10" s="6">
        <f>_xlfn.XLOOKUP(tbResumo[[#This Row],[SKU]],tbCadastro[SKU],tbCadastro[Preço Unitário],0)</f>
        <v>149.9</v>
      </c>
      <c r="E10" s="5">
        <f>SUMIFS(tbEntrada[Quantidade Entrada],tbEntrada[SKU],tbResumo[[#This Row],[SKU]])</f>
        <v>40</v>
      </c>
      <c r="F10" s="5">
        <f>SUMIFS(tbSaida[Quantidade Saída],tbSaida[SKU],tbResumo[[#This Row],[SKU]])</f>
        <v>27</v>
      </c>
      <c r="G10" s="5">
        <f>tbResumo[[#This Row],[Total Entradas]]-tbResumo[[#This Row],[Total Saídas]]</f>
        <v>13</v>
      </c>
      <c r="H10" s="6">
        <f>tbResumo[[#This Row],[Saldo Atual]]*tbResumo[[#This Row],[Preço Unitário]]</f>
        <v>1948.7</v>
      </c>
      <c r="I10" t="str" cm="1">
        <f t="array" ref="I10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Crítico</v>
      </c>
    </row>
    <row r="11" spans="1:9" x14ac:dyDescent="0.3">
      <c r="A11" t="s">
        <v>44</v>
      </c>
      <c r="B11" t="str">
        <f>_xlfn.XLOOKUP(tbResumo[[#This Row],[SKU]],tbCadastro[SKU],tbCadastro[Produto],"Não encontrado")</f>
        <v>Tomada Inteligente Wi-Fi</v>
      </c>
      <c r="C11" t="str">
        <f>_xlfn.XLOOKUP(tbResumo[[#This Row],[SKU]],tbCadastro[SKU],tbCadastro[Categoria],"Não encontrado")</f>
        <v>Casa Inteligente</v>
      </c>
      <c r="D11" s="6">
        <f>_xlfn.XLOOKUP(tbResumo[[#This Row],[SKU]],tbCadastro[SKU],tbCadastro[Preço Unitário],0)</f>
        <v>99.9</v>
      </c>
      <c r="E11" s="5">
        <f>SUMIFS(tbEntrada[Quantidade Entrada],tbEntrada[SKU],tbResumo[[#This Row],[SKU]])</f>
        <v>90</v>
      </c>
      <c r="F11" s="5">
        <f>SUMIFS(tbSaida[Quantidade Saída],tbSaida[SKU],tbResumo[[#This Row],[SKU]])</f>
        <v>36</v>
      </c>
      <c r="G11" s="5">
        <f>tbResumo[[#This Row],[Total Entradas]]-tbResumo[[#This Row],[Total Saídas]]</f>
        <v>54</v>
      </c>
      <c r="H11" s="6">
        <f>tbResumo[[#This Row],[Saldo Atual]]*tbResumo[[#This Row],[Preço Unitário]]</f>
        <v>5394.6</v>
      </c>
      <c r="I11" t="str" cm="1">
        <f t="array" ref="I11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12" spans="1:9" x14ac:dyDescent="0.3">
      <c r="A12" t="s">
        <v>47</v>
      </c>
      <c r="B12" t="str">
        <f>_xlfn.XLOOKUP(tbResumo[[#This Row],[SKU]],tbCadastro[SKU],tbCadastro[Produto],"Não encontrado")</f>
        <v>Roteador Wi-Fi Dual Band</v>
      </c>
      <c r="C12" t="str">
        <f>_xlfn.XLOOKUP(tbResumo[[#This Row],[SKU]],tbCadastro[SKU],tbCadastro[Categoria],"Não encontrado")</f>
        <v>Redes</v>
      </c>
      <c r="D12" s="6">
        <f>_xlfn.XLOOKUP(tbResumo[[#This Row],[SKU]],tbCadastro[SKU],tbCadastro[Preço Unitário],0)</f>
        <v>189.9</v>
      </c>
      <c r="E12" s="5">
        <f>SUMIFS(tbEntrada[Quantidade Entrada],tbEntrada[SKU],tbResumo[[#This Row],[SKU]])</f>
        <v>55</v>
      </c>
      <c r="F12" s="5">
        <f>SUMIFS(tbSaida[Quantidade Saída],tbSaida[SKU],tbResumo[[#This Row],[SKU]])</f>
        <v>40</v>
      </c>
      <c r="G12" s="5">
        <f>tbResumo[[#This Row],[Total Entradas]]-tbResumo[[#This Row],[Total Saídas]]</f>
        <v>15</v>
      </c>
      <c r="H12" s="6">
        <f>tbResumo[[#This Row],[Saldo Atual]]*tbResumo[[#This Row],[Preço Unitário]]</f>
        <v>2848.5</v>
      </c>
      <c r="I12" t="str" cm="1">
        <f t="array" ref="I12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Crítico</v>
      </c>
    </row>
    <row r="13" spans="1:9" x14ac:dyDescent="0.3">
      <c r="A13" t="s">
        <v>52</v>
      </c>
      <c r="B13" t="str">
        <f>_xlfn.XLOOKUP(tbResumo[[#This Row],[SKU]],tbCadastro[SKU],tbCadastro[Produto],"Não encontrado")</f>
        <v>Repetidor de Sinal Wi-Fi</v>
      </c>
      <c r="C13" t="str">
        <f>_xlfn.XLOOKUP(tbResumo[[#This Row],[SKU]],tbCadastro[SKU],tbCadastro[Categoria],"Não encontrado")</f>
        <v>Redes</v>
      </c>
      <c r="D13" s="6">
        <f>_xlfn.XLOOKUP(tbResumo[[#This Row],[SKU]],tbCadastro[SKU],tbCadastro[Preço Unitário],0)</f>
        <v>109.9</v>
      </c>
      <c r="E13" s="5">
        <f>SUMIFS(tbEntrada[Quantidade Entrada],tbEntrada[SKU],tbResumo[[#This Row],[SKU]])</f>
        <v>105</v>
      </c>
      <c r="F13" s="5">
        <f>SUMIFS(tbSaida[Quantidade Saída],tbSaida[SKU],tbResumo[[#This Row],[SKU]])</f>
        <v>57</v>
      </c>
      <c r="G13" s="5">
        <f>tbResumo[[#This Row],[Total Entradas]]-tbResumo[[#This Row],[Total Saídas]]</f>
        <v>48</v>
      </c>
      <c r="H13" s="6">
        <f>tbResumo[[#This Row],[Saldo Atual]]*tbResumo[[#This Row],[Preço Unitário]]</f>
        <v>5275.2000000000007</v>
      </c>
      <c r="I13" t="str" cm="1">
        <f t="array" ref="I13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14" spans="1:9" x14ac:dyDescent="0.3">
      <c r="A14" t="s">
        <v>55</v>
      </c>
      <c r="B14" t="str">
        <f>_xlfn.XLOOKUP(tbResumo[[#This Row],[SKU]],tbCadastro[SKU],tbCadastro[Produto],"Não encontrado")</f>
        <v>SSD 480GB FastDisk</v>
      </c>
      <c r="C14" t="str">
        <f>_xlfn.XLOOKUP(tbResumo[[#This Row],[SKU]],tbCadastro[SKU],tbCadastro[Categoria],"Não encontrado")</f>
        <v>Armazenamento</v>
      </c>
      <c r="D14" s="6">
        <f>_xlfn.XLOOKUP(tbResumo[[#This Row],[SKU]],tbCadastro[SKU],tbCadastro[Preço Unitário],0)</f>
        <v>259.89999999999998</v>
      </c>
      <c r="E14" s="5">
        <f>SUMIFS(tbEntrada[Quantidade Entrada],tbEntrada[SKU],tbResumo[[#This Row],[SKU]])</f>
        <v>130</v>
      </c>
      <c r="F14" s="5">
        <f>SUMIFS(tbSaida[Quantidade Saída],tbSaida[SKU],tbResumo[[#This Row],[SKU]])</f>
        <v>72</v>
      </c>
      <c r="G14" s="5">
        <f>tbResumo[[#This Row],[Total Entradas]]-tbResumo[[#This Row],[Total Saídas]]</f>
        <v>58</v>
      </c>
      <c r="H14" s="6">
        <f>tbResumo[[#This Row],[Saldo Atual]]*tbResumo[[#This Row],[Preço Unitário]]</f>
        <v>15074.199999999999</v>
      </c>
      <c r="I14" t="str" cm="1">
        <f t="array" ref="I14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15" spans="1:9" x14ac:dyDescent="0.3">
      <c r="A15" t="s">
        <v>60</v>
      </c>
      <c r="B15" t="str">
        <f>_xlfn.XLOOKUP(tbResumo[[#This Row],[SKU]],tbCadastro[SKU],tbCadastro[Produto],"Não encontrado")</f>
        <v>Pendrive 64GB DataGo</v>
      </c>
      <c r="C15" t="str">
        <f>_xlfn.XLOOKUP(tbResumo[[#This Row],[SKU]],tbCadastro[SKU],tbCadastro[Categoria],"Não encontrado")</f>
        <v>Armazenamento</v>
      </c>
      <c r="D15" s="6">
        <f>_xlfn.XLOOKUP(tbResumo[[#This Row],[SKU]],tbCadastro[SKU],tbCadastro[Preço Unitário],0)</f>
        <v>49.9</v>
      </c>
      <c r="E15" s="5">
        <f>SUMIFS(tbEntrada[Quantidade Entrada],tbEntrada[SKU],tbResumo[[#This Row],[SKU]])</f>
        <v>230</v>
      </c>
      <c r="F15" s="5">
        <f>SUMIFS(tbSaida[Quantidade Saída],tbSaida[SKU],tbResumo[[#This Row],[SKU]])</f>
        <v>170</v>
      </c>
      <c r="G15" s="5">
        <f>tbResumo[[#This Row],[Total Entradas]]-tbResumo[[#This Row],[Total Saídas]]</f>
        <v>60</v>
      </c>
      <c r="H15" s="6">
        <f>tbResumo[[#This Row],[Saldo Atual]]*tbResumo[[#This Row],[Preço Unitário]]</f>
        <v>2994</v>
      </c>
      <c r="I15" t="str" cm="1">
        <f t="array" ref="I15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  <row r="16" spans="1:9" x14ac:dyDescent="0.3">
      <c r="A16" t="s">
        <v>63</v>
      </c>
      <c r="B16" s="3" t="str">
        <f>_xlfn.XLOOKUP(tbResumo[[#This Row],[SKU]],tbCadastro[SKU],tbCadastro[Produto],"Não encontrado")</f>
        <v>Hub USB 4 Portas</v>
      </c>
      <c r="C16" t="str">
        <f>_xlfn.XLOOKUP(tbResumo[[#This Row],[SKU]],tbCadastro[SKU],tbCadastro[Categoria],"Não encontrado")</f>
        <v>Acessórios</v>
      </c>
      <c r="D16" s="6">
        <f>_xlfn.XLOOKUP(tbResumo[[#This Row],[SKU]],tbCadastro[SKU],tbCadastro[Preço Unitário],0)</f>
        <v>59.9</v>
      </c>
      <c r="E16" s="5">
        <f>SUMIFS(tbEntrada[Quantidade Entrada],tbEntrada[SKU],tbResumo[[#This Row],[SKU]])</f>
        <v>155</v>
      </c>
      <c r="F16" s="5">
        <f>SUMIFS(tbSaida[Quantidade Saída],tbSaida[SKU],tbResumo[[#This Row],[SKU]])</f>
        <v>78</v>
      </c>
      <c r="G16" s="5">
        <f>tbResumo[[#This Row],[Total Entradas]]-tbResumo[[#This Row],[Total Saídas]]</f>
        <v>77</v>
      </c>
      <c r="H16" s="6">
        <f>tbResumo[[#This Row],[Saldo Atual]]*tbResumo[[#This Row],[Preço Unitário]]</f>
        <v>4612.3</v>
      </c>
      <c r="I16" t="str" cm="1">
        <f t="array" ref="I16">_xlfn.IFS(tbResumo[[#This Row],[Saldo Atual]]&lt;0,"Estoque Negativo",tbResumo[[#This Row],[Saldo Atual]]=0,"Obsoleto",tbResumo[[#This Row],[Saldo Atual]]&lt;=20,"Crítico",tbResumo[[#This Row],[Saldo Atual]]&lt;=100,"OK",tbResumo[[#This Row],[Saldo Atual]]&gt;100,"Excesso")</f>
        <v>OK</v>
      </c>
    </row>
  </sheetData>
  <conditionalFormatting sqref="I2:I1048576">
    <cfRule type="containsText" dxfId="19" priority="11" operator="containsText" text="Estoque Negativo">
      <formula>NOT(ISERROR(SEARCH("Estoque Negativo",I2)))</formula>
    </cfRule>
    <cfRule type="containsText" dxfId="18" priority="10" operator="containsText" text="Obsoleto">
      <formula>NOT(ISERROR(SEARCH("Obsoleto",I2)))</formula>
    </cfRule>
    <cfRule type="containsText" dxfId="17" priority="9" operator="containsText" text="Obsoleto">
      <formula>NOT(ISERROR(SEARCH("Obsoleto",I2)))</formula>
    </cfRule>
    <cfRule type="containsText" dxfId="16" priority="8" operator="containsText" text="Crítico">
      <formula>NOT(ISERROR(SEARCH("Crítico",I2)))</formula>
    </cfRule>
    <cfRule type="containsText" dxfId="15" priority="7" operator="containsText" text="OK">
      <formula>NOT(ISERROR(SEARCH("OK",I2)))</formula>
    </cfRule>
    <cfRule type="containsText" dxfId="14" priority="6" operator="containsText" text="Excesso">
      <formula>NOT(ISERROR(SEARCH("Excesso",I2)))</formula>
    </cfRule>
  </conditionalFormatting>
  <conditionalFormatting sqref="G2:G1048576">
    <cfRule type="cellIs" dxfId="13" priority="5" operator="lessThan">
      <formula>0</formula>
    </cfRule>
    <cfRule type="cellIs" dxfId="12" priority="4" operator="between">
      <formula>1</formula>
      <formula>20</formula>
    </cfRule>
    <cfRule type="cellIs" dxfId="11" priority="3" operator="greaterThan">
      <formula>100</formula>
    </cfRule>
    <cfRule type="cellIs" dxfId="10" priority="2" operator="between">
      <formula>21</formula>
      <formula>99</formula>
    </cfRule>
  </conditionalFormatting>
  <conditionalFormatting sqref="H2:H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{C20CB109-B948-4D59-A50C-2622DC3F61EC}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0CB109-B948-4D59-A50C-2622DC3F6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12BB-F18F-4295-B22F-A8EBCBD3AB47}">
  <dimension ref="A1:K31"/>
  <sheetViews>
    <sheetView tabSelected="1" topLeftCell="A4" workbookViewId="0">
      <selection activeCell="E18" sqref="E18"/>
    </sheetView>
  </sheetViews>
  <sheetFormatPr defaultRowHeight="14.4" x14ac:dyDescent="0.3"/>
  <cols>
    <col min="1" max="1" width="17.88671875" bestFit="1" customWidth="1"/>
    <col min="2" max="2" width="23.77734375" customWidth="1"/>
    <col min="4" max="4" width="23.77734375" bestFit="1" customWidth="1"/>
    <col min="5" max="5" width="23.21875" bestFit="1" customWidth="1"/>
    <col min="7" max="7" width="23.5546875" customWidth="1"/>
    <col min="8" max="8" width="22.109375" bestFit="1" customWidth="1"/>
    <col min="10" max="10" width="25.77734375" customWidth="1"/>
    <col min="11" max="11" width="21.6640625" bestFit="1" customWidth="1"/>
  </cols>
  <sheetData>
    <row r="1" spans="1:11" x14ac:dyDescent="0.3">
      <c r="A1" t="s">
        <v>90</v>
      </c>
      <c r="D1" t="s">
        <v>92</v>
      </c>
      <c r="G1" t="s">
        <v>94</v>
      </c>
      <c r="J1" t="s">
        <v>96</v>
      </c>
    </row>
    <row r="3" spans="1:11" x14ac:dyDescent="0.3">
      <c r="A3" s="7" t="s">
        <v>87</v>
      </c>
      <c r="B3" t="s">
        <v>89</v>
      </c>
      <c r="D3" s="7" t="s">
        <v>87</v>
      </c>
      <c r="E3" t="s">
        <v>91</v>
      </c>
      <c r="G3" s="7" t="s">
        <v>87</v>
      </c>
      <c r="H3" t="s">
        <v>93</v>
      </c>
      <c r="J3" s="7" t="s">
        <v>87</v>
      </c>
      <c r="K3" t="s">
        <v>95</v>
      </c>
    </row>
    <row r="4" spans="1:11" x14ac:dyDescent="0.3">
      <c r="A4" s="8" t="s">
        <v>30</v>
      </c>
      <c r="B4" s="6">
        <v>18566.899999999998</v>
      </c>
      <c r="D4" s="8" t="s">
        <v>30</v>
      </c>
      <c r="E4" s="4">
        <v>4</v>
      </c>
      <c r="G4" s="8" t="s">
        <v>30</v>
      </c>
      <c r="H4" s="6">
        <v>69.900000000000006</v>
      </c>
      <c r="J4" s="8" t="s">
        <v>30</v>
      </c>
      <c r="K4" s="5">
        <v>715</v>
      </c>
    </row>
    <row r="5" spans="1:11" x14ac:dyDescent="0.3">
      <c r="A5" s="8" t="s">
        <v>58</v>
      </c>
      <c r="B5" s="6">
        <v>18068.199999999997</v>
      </c>
      <c r="D5" s="8" t="s">
        <v>58</v>
      </c>
      <c r="E5" s="4">
        <v>2</v>
      </c>
      <c r="G5" s="8" t="s">
        <v>58</v>
      </c>
      <c r="H5" s="6">
        <v>154.89999999999998</v>
      </c>
      <c r="J5" s="8" t="s">
        <v>58</v>
      </c>
      <c r="K5" s="5">
        <v>360</v>
      </c>
    </row>
    <row r="6" spans="1:11" x14ac:dyDescent="0.3">
      <c r="A6" s="8" t="s">
        <v>10</v>
      </c>
      <c r="B6" s="6">
        <v>12539.300000000001</v>
      </c>
      <c r="D6" s="8" t="s">
        <v>10</v>
      </c>
      <c r="E6" s="4">
        <v>2</v>
      </c>
      <c r="G6" s="8" t="s">
        <v>10</v>
      </c>
      <c r="H6" s="6">
        <v>109.9</v>
      </c>
      <c r="J6" s="8" t="s">
        <v>10</v>
      </c>
      <c r="K6" s="5">
        <v>170</v>
      </c>
    </row>
    <row r="7" spans="1:11" x14ac:dyDescent="0.3">
      <c r="A7" s="8" t="s">
        <v>42</v>
      </c>
      <c r="B7" s="6">
        <v>7343.3</v>
      </c>
      <c r="D7" s="8" t="s">
        <v>42</v>
      </c>
      <c r="E7" s="4">
        <v>2</v>
      </c>
      <c r="G7" s="8" t="s">
        <v>42</v>
      </c>
      <c r="H7" s="6">
        <v>124.9</v>
      </c>
      <c r="J7" s="8" t="s">
        <v>42</v>
      </c>
      <c r="K7" s="5">
        <v>130</v>
      </c>
    </row>
    <row r="8" spans="1:11" x14ac:dyDescent="0.3">
      <c r="A8" s="8" t="s">
        <v>19</v>
      </c>
      <c r="B8" s="6">
        <v>11089.400000000001</v>
      </c>
      <c r="D8" s="8" t="s">
        <v>19</v>
      </c>
      <c r="E8" s="4">
        <v>3</v>
      </c>
      <c r="G8" s="8" t="s">
        <v>19</v>
      </c>
      <c r="H8" s="6">
        <v>153.23333333333335</v>
      </c>
      <c r="J8" s="8" t="s">
        <v>19</v>
      </c>
      <c r="K8" s="5">
        <v>230</v>
      </c>
    </row>
    <row r="9" spans="1:11" x14ac:dyDescent="0.3">
      <c r="A9" s="8" t="s">
        <v>50</v>
      </c>
      <c r="B9" s="6">
        <v>8123.7000000000007</v>
      </c>
      <c r="D9" s="8" t="s">
        <v>50</v>
      </c>
      <c r="E9" s="4">
        <v>2</v>
      </c>
      <c r="G9" s="8" t="s">
        <v>50</v>
      </c>
      <c r="H9" s="6">
        <v>149.9</v>
      </c>
      <c r="J9" s="8" t="s">
        <v>50</v>
      </c>
      <c r="K9" s="5">
        <v>160</v>
      </c>
    </row>
    <row r="10" spans="1:11" x14ac:dyDescent="0.3">
      <c r="A10" s="8" t="s">
        <v>88</v>
      </c>
      <c r="B10" s="6">
        <v>75730.8</v>
      </c>
      <c r="D10" s="8" t="s">
        <v>88</v>
      </c>
      <c r="E10" s="4">
        <v>15</v>
      </c>
      <c r="G10" s="8" t="s">
        <v>88</v>
      </c>
      <c r="H10" s="6">
        <v>121.23333333333336</v>
      </c>
      <c r="J10" s="8" t="s">
        <v>88</v>
      </c>
      <c r="K10" s="5">
        <v>1765</v>
      </c>
    </row>
    <row r="13" spans="1:11" x14ac:dyDescent="0.3">
      <c r="A13" t="s">
        <v>100</v>
      </c>
      <c r="D13" s="8" t="s">
        <v>101</v>
      </c>
    </row>
    <row r="15" spans="1:11" x14ac:dyDescent="0.3">
      <c r="A15" s="7" t="s">
        <v>87</v>
      </c>
      <c r="B15" t="s">
        <v>91</v>
      </c>
      <c r="D15" s="7" t="s">
        <v>87</v>
      </c>
      <c r="E15" t="s">
        <v>89</v>
      </c>
    </row>
    <row r="16" spans="1:11" x14ac:dyDescent="0.3">
      <c r="A16" s="8" t="s">
        <v>97</v>
      </c>
      <c r="B16" s="4">
        <v>4</v>
      </c>
      <c r="D16" s="8" t="s">
        <v>56</v>
      </c>
      <c r="E16" s="6">
        <v>15074.199999999999</v>
      </c>
    </row>
    <row r="17" spans="1:5" x14ac:dyDescent="0.3">
      <c r="A17" s="8" t="s">
        <v>98</v>
      </c>
      <c r="B17" s="4">
        <v>1</v>
      </c>
      <c r="D17" s="8" t="s">
        <v>8</v>
      </c>
      <c r="E17" s="6">
        <v>9482.7000000000007</v>
      </c>
    </row>
    <row r="18" spans="1:5" x14ac:dyDescent="0.3">
      <c r="A18" s="8" t="s">
        <v>99</v>
      </c>
      <c r="B18" s="4">
        <v>10</v>
      </c>
      <c r="D18" s="8" t="s">
        <v>17</v>
      </c>
      <c r="E18" s="6">
        <v>6631.7000000000007</v>
      </c>
    </row>
    <row r="19" spans="1:5" x14ac:dyDescent="0.3">
      <c r="A19" s="8" t="s">
        <v>88</v>
      </c>
      <c r="B19" s="4">
        <v>15</v>
      </c>
      <c r="D19" s="8" t="s">
        <v>28</v>
      </c>
      <c r="E19" s="6">
        <v>6081.3</v>
      </c>
    </row>
    <row r="20" spans="1:5" x14ac:dyDescent="0.3">
      <c r="D20" s="8" t="s">
        <v>45</v>
      </c>
      <c r="E20" s="6">
        <v>5394.6</v>
      </c>
    </row>
    <row r="21" spans="1:5" x14ac:dyDescent="0.3">
      <c r="D21" s="8" t="s">
        <v>53</v>
      </c>
      <c r="E21" s="6">
        <v>5275.2000000000007</v>
      </c>
    </row>
    <row r="22" spans="1:5" x14ac:dyDescent="0.3">
      <c r="D22" s="8" t="s">
        <v>64</v>
      </c>
      <c r="E22" s="6">
        <v>4612.3</v>
      </c>
    </row>
    <row r="23" spans="1:5" x14ac:dyDescent="0.3">
      <c r="D23" s="8" t="s">
        <v>33</v>
      </c>
      <c r="E23" s="6">
        <v>4036.5</v>
      </c>
    </row>
    <row r="24" spans="1:5" x14ac:dyDescent="0.3">
      <c r="D24" s="8" t="s">
        <v>36</v>
      </c>
      <c r="E24" s="6">
        <v>3836.8</v>
      </c>
    </row>
    <row r="25" spans="1:5" x14ac:dyDescent="0.3">
      <c r="D25" s="8" t="s">
        <v>13</v>
      </c>
      <c r="E25" s="6">
        <v>3056.6000000000004</v>
      </c>
    </row>
    <row r="26" spans="1:5" x14ac:dyDescent="0.3">
      <c r="D26" s="8" t="s">
        <v>61</v>
      </c>
      <c r="E26" s="6">
        <v>2994</v>
      </c>
    </row>
    <row r="27" spans="1:5" x14ac:dyDescent="0.3">
      <c r="D27" s="8" t="s">
        <v>22</v>
      </c>
      <c r="E27" s="6">
        <v>2858.7000000000003</v>
      </c>
    </row>
    <row r="28" spans="1:5" x14ac:dyDescent="0.3">
      <c r="D28" s="8" t="s">
        <v>48</v>
      </c>
      <c r="E28" s="6">
        <v>2848.5</v>
      </c>
    </row>
    <row r="29" spans="1:5" x14ac:dyDescent="0.3">
      <c r="D29" s="8" t="s">
        <v>40</v>
      </c>
      <c r="E29" s="6">
        <v>1948.7</v>
      </c>
    </row>
    <row r="30" spans="1:5" x14ac:dyDescent="0.3">
      <c r="D30" s="8" t="s">
        <v>25</v>
      </c>
      <c r="E30" s="6">
        <v>1599</v>
      </c>
    </row>
    <row r="31" spans="1:5" x14ac:dyDescent="0.3">
      <c r="D31" s="8" t="s">
        <v>88</v>
      </c>
      <c r="E31" s="6">
        <v>75730.8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</vt:lpstr>
      <vt:lpstr>Entrada</vt:lpstr>
      <vt:lpstr>Saída</vt:lpstr>
      <vt:lpstr>Resumo Estoque</vt:lpstr>
      <vt:lpstr>Tabelas Dinâmicas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Jarleson Oliveira</dc:creator>
  <cp:lastModifiedBy>Jarleson Oliveira</cp:lastModifiedBy>
  <dcterms:created xsi:type="dcterms:W3CDTF">2026-05-06T03:34:40Z</dcterms:created>
  <dcterms:modified xsi:type="dcterms:W3CDTF">2026-05-08T20:08:42Z</dcterms:modified>
</cp:coreProperties>
</file>