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79C36FD7-61D8-4E87-B3D6-2253019FCA64}" xr6:coauthVersionLast="47" xr6:coauthVersionMax="47" xr10:uidLastSave="{00000000-0000-0000-0000-000000000000}"/>
  <bookViews>
    <workbookView xWindow="28680" yWindow="-120" windowWidth="29040" windowHeight="15720" activeTab="2" xr2:uid="{9DEF0419-6759-4113-AF76-8A8C57CBF3AA}"/>
  </bookViews>
  <sheets>
    <sheet name="Cadastro" sheetId="1" r:id="rId1"/>
    <sheet name="Entrada" sheetId="2" r:id="rId2"/>
    <sheet name="Saíd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8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</calcChain>
</file>

<file path=xl/sharedStrings.xml><?xml version="1.0" encoding="utf-8"?>
<sst xmlns="http://schemas.openxmlformats.org/spreadsheetml/2006/main" count="265" uniqueCount="82">
  <si>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</si>
  <si>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</si>
  <si>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</si>
  <si>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</si>
  <si>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</si>
  <si>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</si>
  <si>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</si>
  <si>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</si>
  <si>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</si>
  <si>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</si>
  <si>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</si>
  <si>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</si>
  <si>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</si>
  <si>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</si>
  <si>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</si>
  <si>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</si>
  <si>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</si>
  <si>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</si>
  <si>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</si>
  <si>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</si>
  <si>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</si>
  <si>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</si>
  <si>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</si>
  <si>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</si>
  <si>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</si>
  <si>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</si>
  <si>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</si>
  <si>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</si>
  <si>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</si>
  <si>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</si>
  <si>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</si>
  <si>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</si>
  <si>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</si>
  <si>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</si>
  <si>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</si>
  <si>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</si>
  <si>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</si>
  <si>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</si>
  <si>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</si>
  <si>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</si>
  <si>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</si>
  <si>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</si>
  <si>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</si>
  <si>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</si>
  <si>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</si>
  <si>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</si>
  <si>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</si>
  <si>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</si>
  <si>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</si>
  <si>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</si>
  <si>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</si>
  <si>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</si>
  <si>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</si>
  <si>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</si>
  <si>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</si>
  <si>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</si>
  <si>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</si>
  <si>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</si>
  <si>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</si>
  <si>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</si>
  <si>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</si>
  <si>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</si>
  <si>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</si>
  <si>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</si>
  <si>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</si>
  <si>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</si>
  <si>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</si>
  <si>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</si>
  <si>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</si>
  <si>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</si>
  <si>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</si>
  <si>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</si>
  <si>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</si>
  <si>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</si>
  <si>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</si>
  <si>
    <t>Quantidade Saída</t>
  </si>
  <si>
    <t>Canal de Venda</t>
  </si>
  <si>
    <t>Loja Física</t>
  </si>
  <si>
    <t>Venda normal</t>
  </si>
  <si>
    <t>Marketplace</t>
  </si>
  <si>
    <t>Venda online</t>
  </si>
  <si>
    <t>Campanha promocional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</si>
</sst>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8">
    <dxf>
      <numFmt numFmtId="1" formatCode="0"/>
    </dxf>
    <dxf>
      <numFmt numFmtId="0" formatCode="General"/>
    </dxf>
    <dxf>
      <numFmt numFmtId="19" formatCode="dd/mm/yyyy"/>
    </dxf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7"/>
    <tableColumn id="6" xr3:uid="{EA58917D-0C34-4FB2-A614-DCAD68AA44F6}" name="Fornecedor"/>
    <tableColumn id="7" xr3:uid="{04EAC182-50EF-47E6-BCFB-5A3CF1673859}" name="Data de Cadastro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5"/>
    <tableColumn id="2" xr3:uid="{7987F022-B4FC-4F00-B1FF-6BFCB106433D}" name="SKU"/>
    <tableColumn id="3" xr3:uid="{CE0AFAD0-D886-4AD3-9DC7-F53B9E49B62D}" name="Produto" dataDxfId="4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3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603194-BD4A-445E-92EE-AEDDA93B7FEE}" name="tbSaida" displayName="tbSaida" ref="A1:F31" totalsRowShown="0">
  <autoFilter ref="A1:F31" xr:uid="{83603194-BD4A-445E-92EE-AEDDA93B7FEE}"/>
  <tableColumns count="6">
    <tableColumn id="1" xr3:uid="{84870D34-BE9F-4CFC-A62B-6EE2B5631FD5}" name="Data" dataDxfId="2"/>
    <tableColumn id="2" xr3:uid="{73BFB05B-0638-42FE-83E0-AB0F3445B4FF}" name="SKU"/>
    <tableColumn id="3" xr3:uid="{63B5D954-F021-49FF-BBD4-26F9DF540E6B}" name="Produto" dataDxfId="1"/>
    <tableColumn id="4" xr3:uid="{C7872616-E7BA-4C77-8D41-2068067BB2A7}" name="Quantidade Saída" dataDxfId="0"/>
    <tableColumn id="5" xr3:uid="{9B35AB08-6C54-43E0-B34D-15830AD4E19C}" name="Canal de Venda"/>
    <tableColumn id="6" xr3:uid="{AB3D24CB-C511-41D2-9E6C-DBF4DB41164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4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4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4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4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4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4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4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4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4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4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4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4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4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4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4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4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4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4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4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4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4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4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4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4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4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4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D9DB-6B87-4ADF-B6B1-7040B728B6B2}">
  <dimension ref="A1:F36"/>
  <sheetViews>
    <sheetView tabSelected="1" workbookViewId="0">
      <pane ySplit="1" topLeftCell="A8" activePane="bottomLeft" state="frozen"/>
      <selection pane="bottomLeft" activeCell="F36" sqref="F36"/>
    </sheetView>
  </sheetViews>
  <sheetFormatPr defaultRowHeight="14.4" x14ac:dyDescent="0.3"/>
  <cols>
    <col min="1" max="1" width="16.109375" style="1" customWidth="1"/>
    <col min="2" max="2" width="17.5546875" customWidth="1"/>
    <col min="3" max="3" width="20.5546875" customWidth="1"/>
    <col min="4" max="4" width="26.44140625" style="4" customWidth="1"/>
    <col min="5" max="5" width="24.21875" customWidth="1"/>
    <col min="6" max="6" width="26.4414062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75</v>
      </c>
      <c r="E1" t="s">
        <v>76</v>
      </c>
      <c r="F1" t="s">
        <v>69</v>
      </c>
    </row>
    <row r="2" spans="1:6" x14ac:dyDescent="0.3">
      <c r="A2" s="1">
        <v>46059</v>
      </c>
      <c r="B2" t="s">
        <v>7</v>
      </c>
      <c r="C2" t="s">
        <v>8</v>
      </c>
      <c r="D2" s="4">
        <v>12</v>
      </c>
      <c r="E2" t="s">
        <v>77</v>
      </c>
      <c r="F2" t="s">
        <v>78</v>
      </c>
    </row>
    <row r="3" spans="1:6" x14ac:dyDescent="0.3">
      <c r="A3" s="1">
        <v>46059</v>
      </c>
      <c r="B3" t="s">
        <v>12</v>
      </c>
      <c r="C3" t="s">
        <v>13</v>
      </c>
      <c r="D3" s="4">
        <v>8</v>
      </c>
      <c r="E3" t="s">
        <v>77</v>
      </c>
      <c r="F3" t="s">
        <v>78</v>
      </c>
    </row>
    <row r="4" spans="1:6" x14ac:dyDescent="0.3">
      <c r="A4" s="1">
        <v>46060</v>
      </c>
      <c r="B4" t="s">
        <v>16</v>
      </c>
      <c r="C4" t="s">
        <v>17</v>
      </c>
      <c r="D4" s="4">
        <v>20</v>
      </c>
      <c r="E4" t="s">
        <v>79</v>
      </c>
      <c r="F4" t="s">
        <v>80</v>
      </c>
    </row>
    <row r="5" spans="1:6" x14ac:dyDescent="0.3">
      <c r="A5" s="1">
        <v>46060</v>
      </c>
      <c r="B5" t="s">
        <v>21</v>
      </c>
      <c r="C5" t="s">
        <v>22</v>
      </c>
      <c r="D5" s="4">
        <v>10</v>
      </c>
      <c r="E5" t="s">
        <v>79</v>
      </c>
      <c r="F5" t="s">
        <v>80</v>
      </c>
    </row>
    <row r="6" spans="1:6" x14ac:dyDescent="0.3">
      <c r="A6" s="1">
        <v>46061</v>
      </c>
      <c r="B6" t="s">
        <v>24</v>
      </c>
      <c r="C6" t="s">
        <v>25</v>
      </c>
      <c r="D6" s="4">
        <v>15</v>
      </c>
      <c r="E6" t="s">
        <v>77</v>
      </c>
      <c r="F6" t="s">
        <v>78</v>
      </c>
    </row>
    <row r="7" spans="1:6" x14ac:dyDescent="0.3">
      <c r="A7" s="1">
        <v>46061</v>
      </c>
      <c r="B7" t="s">
        <v>27</v>
      </c>
      <c r="C7" t="s">
        <v>28</v>
      </c>
      <c r="D7" s="4">
        <v>35</v>
      </c>
      <c r="E7" t="s">
        <v>79</v>
      </c>
      <c r="F7" t="s">
        <v>80</v>
      </c>
    </row>
    <row r="8" spans="1:6" x14ac:dyDescent="0.3">
      <c r="A8" s="1">
        <v>46062</v>
      </c>
      <c r="B8" t="s">
        <v>32</v>
      </c>
      <c r="C8" t="str">
        <f>_xlfn.XLOOKUP(tbSaida[[#This Row],[SKU]],tbCadastro[SKU],tbCadastro[Produto],"SKU não encontrado")</f>
        <v>Cabo USB-C Reforçado</v>
      </c>
      <c r="D8" s="4">
        <v>70</v>
      </c>
      <c r="E8" t="s">
        <v>77</v>
      </c>
      <c r="F8" t="s">
        <v>78</v>
      </c>
    </row>
    <row r="9" spans="1:6" x14ac:dyDescent="0.3">
      <c r="A9" s="1">
        <v>46062</v>
      </c>
      <c r="B9" t="s">
        <v>35</v>
      </c>
      <c r="C9" t="str">
        <f>_xlfn.XLOOKUP(tbSaida[[#This Row],[SKU]],tbCadastro[SKU],tbCadastro[Produto],"SKU não encontrado")</f>
        <v>Power Bank 10000mAh</v>
      </c>
      <c r="D9" s="4">
        <v>18</v>
      </c>
      <c r="E9" t="s">
        <v>79</v>
      </c>
      <c r="F9" t="s">
        <v>80</v>
      </c>
    </row>
    <row r="10" spans="1:6" x14ac:dyDescent="0.3">
      <c r="A10" s="1">
        <v>46063</v>
      </c>
      <c r="B10" t="s">
        <v>39</v>
      </c>
      <c r="C10" t="str">
        <f>_xlfn.XLOOKUP(tbSaida[[#This Row],[SKU]],tbCadastro[SKU],tbCadastro[Produto],"SKU não encontrado")</f>
        <v>Luminária LED Smart</v>
      </c>
      <c r="D10" s="4">
        <v>9</v>
      </c>
      <c r="E10" t="s">
        <v>77</v>
      </c>
      <c r="F10" t="s">
        <v>78</v>
      </c>
    </row>
    <row r="11" spans="1:6" x14ac:dyDescent="0.3">
      <c r="A11" s="1">
        <v>46063</v>
      </c>
      <c r="B11" t="s">
        <v>44</v>
      </c>
      <c r="C11" t="str">
        <f>_xlfn.XLOOKUP(tbSaida[[#This Row],[SKU]],tbCadastro[SKU],tbCadastro[Produto],"SKU não encontrado")</f>
        <v>Tomada Inteligente Wi-Fi</v>
      </c>
      <c r="D11" s="4">
        <v>16</v>
      </c>
      <c r="E11" t="s">
        <v>79</v>
      </c>
      <c r="F11" t="s">
        <v>80</v>
      </c>
    </row>
    <row r="12" spans="1:6" x14ac:dyDescent="0.3">
      <c r="A12" s="1">
        <v>46064</v>
      </c>
      <c r="B12" t="s">
        <v>47</v>
      </c>
      <c r="C12" t="str">
        <f>_xlfn.XLOOKUP(tbSaida[[#This Row],[SKU]],tbCadastro[SKU],tbCadastro[Produto],"SKU não encontrado")</f>
        <v>Roteador Wi-Fi Dual Band</v>
      </c>
      <c r="D12" s="4">
        <v>14</v>
      </c>
      <c r="E12" t="s">
        <v>77</v>
      </c>
      <c r="F12" t="s">
        <v>78</v>
      </c>
    </row>
    <row r="13" spans="1:6" x14ac:dyDescent="0.3">
      <c r="A13" s="1">
        <v>46064</v>
      </c>
      <c r="B13" t="s">
        <v>52</v>
      </c>
      <c r="C13" t="str">
        <f>_xlfn.XLOOKUP(tbSaida[[#This Row],[SKU]],tbCadastro[SKU],tbCadastro[Produto],"SKU não encontrado")</f>
        <v>Repetidor de Sinal Wi-Fi</v>
      </c>
      <c r="D13" s="4">
        <v>22</v>
      </c>
      <c r="E13" t="s">
        <v>79</v>
      </c>
      <c r="F13" t="s">
        <v>80</v>
      </c>
    </row>
    <row r="14" spans="1:6" x14ac:dyDescent="0.3">
      <c r="A14" s="1">
        <v>46065</v>
      </c>
      <c r="B14" t="s">
        <v>55</v>
      </c>
      <c r="C14" t="str">
        <f>_xlfn.XLOOKUP(tbSaida[[#This Row],[SKU]],tbCadastro[SKU],tbCadastro[Produto],"SKU não encontrado")</f>
        <v>SSD 480GB FastDisk</v>
      </c>
      <c r="D14" s="4">
        <v>30</v>
      </c>
      <c r="E14" t="s">
        <v>79</v>
      </c>
      <c r="F14" t="s">
        <v>80</v>
      </c>
    </row>
    <row r="15" spans="1:6" x14ac:dyDescent="0.3">
      <c r="A15" s="1">
        <v>46065</v>
      </c>
      <c r="B15" t="s">
        <v>60</v>
      </c>
      <c r="C15" t="str">
        <f>_xlfn.XLOOKUP(tbSaida[[#This Row],[SKU]],tbCadastro[SKU],tbCadastro[Produto],"SKU não encontrado")</f>
        <v>Pendrive 64GB DataGo</v>
      </c>
      <c r="D15" s="4">
        <v>60</v>
      </c>
      <c r="E15" t="s">
        <v>77</v>
      </c>
      <c r="F15" t="s">
        <v>78</v>
      </c>
    </row>
    <row r="16" spans="1:6" x14ac:dyDescent="0.3">
      <c r="A16" s="1">
        <v>46066</v>
      </c>
      <c r="B16" t="s">
        <v>63</v>
      </c>
      <c r="C16" t="str">
        <f>_xlfn.XLOOKUP(tbSaida[[#This Row],[SKU]],tbCadastro[SKU],tbCadastro[Produto],"SKU não encontrado")</f>
        <v>Hub USB 4 Portas</v>
      </c>
      <c r="D16" s="4">
        <v>28</v>
      </c>
      <c r="E16" t="s">
        <v>79</v>
      </c>
      <c r="F16" t="s">
        <v>80</v>
      </c>
    </row>
    <row r="17" spans="1:6" x14ac:dyDescent="0.3">
      <c r="A17" s="1">
        <v>46071</v>
      </c>
      <c r="B17" t="s">
        <v>7</v>
      </c>
      <c r="C17" t="str">
        <f>_xlfn.XLOOKUP(tbSaida[[#This Row],[SKU]],tbCadastro[SKU],tbCadastro[Produto],"SKU não encontrado")</f>
        <v>Fone Bluetooth AirMax</v>
      </c>
      <c r="D17" s="4">
        <v>25</v>
      </c>
      <c r="E17" t="s">
        <v>79</v>
      </c>
      <c r="F17" t="s">
        <v>81</v>
      </c>
    </row>
    <row r="18" spans="1:6" x14ac:dyDescent="0.3">
      <c r="A18" s="1">
        <v>46071</v>
      </c>
      <c r="B18" t="s">
        <v>16</v>
      </c>
      <c r="C18" t="str">
        <f>_xlfn.XLOOKUP(tbSaida[[#This Row],[SKU]],tbCadastro[SKU],tbCadastro[Produto],"SKU não encontrado")</f>
        <v>Mouse Gamer ProClick</v>
      </c>
      <c r="D18" s="4">
        <v>32</v>
      </c>
      <c r="E18" t="s">
        <v>77</v>
      </c>
      <c r="F18" t="s">
        <v>78</v>
      </c>
    </row>
    <row r="19" spans="1:6" x14ac:dyDescent="0.3">
      <c r="A19" s="1">
        <v>46072</v>
      </c>
      <c r="B19" t="s">
        <v>27</v>
      </c>
      <c r="C19" t="str">
        <f>_xlfn.XLOOKUP(tbSaida[[#This Row],[SKU]],tbCadastro[SKU],tbCadastro[Produto],"SKU não encontrado")</f>
        <v>Carregador USB-C Turbo</v>
      </c>
      <c r="D19" s="4">
        <v>48</v>
      </c>
      <c r="E19" t="s">
        <v>79</v>
      </c>
      <c r="F19" t="s">
        <v>81</v>
      </c>
    </row>
    <row r="20" spans="1:6" x14ac:dyDescent="0.3">
      <c r="A20" s="1">
        <v>46072</v>
      </c>
      <c r="B20" t="s">
        <v>32</v>
      </c>
      <c r="C20" t="str">
        <f>_xlfn.XLOOKUP(tbSaida[[#This Row],[SKU]],tbCadastro[SKU],tbCadastro[Produto],"SKU não encontrado")</f>
        <v>Cabo USB-C Reforçado</v>
      </c>
      <c r="D20" s="4">
        <v>95</v>
      </c>
      <c r="E20" t="s">
        <v>79</v>
      </c>
      <c r="F20" t="s">
        <v>81</v>
      </c>
    </row>
    <row r="21" spans="1:6" x14ac:dyDescent="0.3">
      <c r="A21" s="1">
        <v>46073</v>
      </c>
      <c r="B21" t="s">
        <v>55</v>
      </c>
      <c r="C21" t="str">
        <f>_xlfn.XLOOKUP(tbSaida[[#This Row],[SKU]],tbCadastro[SKU],tbCadastro[Produto],"SKU não encontrado")</f>
        <v>SSD 480GB FastDisk</v>
      </c>
      <c r="D21" s="4">
        <v>42</v>
      </c>
      <c r="E21" t="s">
        <v>77</v>
      </c>
      <c r="F21" t="s">
        <v>78</v>
      </c>
    </row>
    <row r="22" spans="1:6" x14ac:dyDescent="0.3">
      <c r="A22" s="1">
        <v>46073</v>
      </c>
      <c r="B22" t="s">
        <v>60</v>
      </c>
      <c r="C22" t="str">
        <f>_xlfn.XLOOKUP(tbSaida[[#This Row],[SKU]],tbCadastro[SKU],tbCadastro[Produto],"SKU não encontrado")</f>
        <v>Pendrive 64GB DataGo</v>
      </c>
      <c r="D22" s="4">
        <v>110</v>
      </c>
      <c r="E22" t="s">
        <v>79</v>
      </c>
      <c r="F22" t="s">
        <v>81</v>
      </c>
    </row>
    <row r="23" spans="1:6" x14ac:dyDescent="0.3">
      <c r="A23" s="1">
        <v>46074</v>
      </c>
      <c r="B23" t="s">
        <v>44</v>
      </c>
      <c r="C23" t="str">
        <f>_xlfn.XLOOKUP(tbSaida[[#This Row],[SKU]],tbCadastro[SKU],tbCadastro[Produto],"SKU não encontrado")</f>
        <v>Tomada Inteligente Wi-Fi</v>
      </c>
      <c r="D23" s="4">
        <v>20</v>
      </c>
      <c r="E23" t="s">
        <v>77</v>
      </c>
      <c r="F23" t="s">
        <v>78</v>
      </c>
    </row>
    <row r="24" spans="1:6" x14ac:dyDescent="0.3">
      <c r="A24" s="1">
        <v>46075</v>
      </c>
      <c r="B24" t="s">
        <v>52</v>
      </c>
      <c r="C24" t="str">
        <f>_xlfn.XLOOKUP(tbSaida[[#This Row],[SKU]],tbCadastro[SKU],tbCadastro[Produto],"SKU não encontrado")</f>
        <v>Repetidor de Sinal Wi-Fi</v>
      </c>
      <c r="D24" s="4">
        <v>35</v>
      </c>
      <c r="E24" t="s">
        <v>79</v>
      </c>
      <c r="F24" t="s">
        <v>80</v>
      </c>
    </row>
    <row r="25" spans="1:6" x14ac:dyDescent="0.3">
      <c r="A25" s="1">
        <v>46076</v>
      </c>
      <c r="B25" t="s">
        <v>63</v>
      </c>
      <c r="C25" t="str">
        <f>_xlfn.XLOOKUP(tbSaida[[#This Row],[SKU]],tbCadastro[SKU],tbCadastro[Produto],"SKU não encontrado")</f>
        <v>Hub USB 4 Portas</v>
      </c>
      <c r="D25" s="4">
        <v>50</v>
      </c>
      <c r="E25" t="s">
        <v>77</v>
      </c>
      <c r="F25" t="s">
        <v>78</v>
      </c>
    </row>
    <row r="26" spans="1:6" x14ac:dyDescent="0.3">
      <c r="A26" s="1">
        <v>46077</v>
      </c>
      <c r="B26" t="s">
        <v>12</v>
      </c>
      <c r="C26" t="str">
        <f>_xlfn.XLOOKUP(tbSaida[[#This Row],[SKU]],tbCadastro[SKU],tbCadastro[Produto],"SKU não encontrado")</f>
        <v>Caixa de Som MiniBass</v>
      </c>
      <c r="D26" s="4">
        <v>18</v>
      </c>
      <c r="E26" t="s">
        <v>79</v>
      </c>
      <c r="F26" t="s">
        <v>80</v>
      </c>
    </row>
    <row r="27" spans="1:6" x14ac:dyDescent="0.3">
      <c r="A27" s="1">
        <v>46078</v>
      </c>
      <c r="B27" t="s">
        <v>21</v>
      </c>
      <c r="C27" t="str">
        <f>_xlfn.XLOOKUP(tbSaida[[#This Row],[SKU]],tbCadastro[SKU],tbCadastro[Produto],"SKU não encontrado")</f>
        <v>Teclado Mecânico KeyStorm</v>
      </c>
      <c r="D27" s="4">
        <v>22</v>
      </c>
      <c r="E27" t="s">
        <v>77</v>
      </c>
      <c r="F27" t="s">
        <v>78</v>
      </c>
    </row>
    <row r="28" spans="1:6" x14ac:dyDescent="0.3">
      <c r="A28" s="1">
        <v>46079</v>
      </c>
      <c r="B28" t="s">
        <v>24</v>
      </c>
      <c r="C28" t="str">
        <f>_xlfn.XLOOKUP(tbSaida[[#This Row],[SKU]],tbCadastro[SKU],tbCadastro[Produto],"SKU não encontrado")</f>
        <v>Webcam Full HD VisionCam</v>
      </c>
      <c r="D28" s="4">
        <v>25</v>
      </c>
      <c r="E28" t="s">
        <v>79</v>
      </c>
      <c r="F28" t="s">
        <v>80</v>
      </c>
    </row>
    <row r="29" spans="1:6" x14ac:dyDescent="0.3">
      <c r="A29" s="1">
        <v>46080</v>
      </c>
      <c r="B29" t="s">
        <v>35</v>
      </c>
      <c r="C29" t="str">
        <f>_xlfn.XLOOKUP(tbSaida[[#This Row],[SKU]],tbCadastro[SKU],tbCadastro[Produto],"SKU não encontrado")</f>
        <v>Power Bank 10000mAh</v>
      </c>
      <c r="D29" s="4">
        <v>40</v>
      </c>
      <c r="E29" t="s">
        <v>77</v>
      </c>
      <c r="F29" t="s">
        <v>78</v>
      </c>
    </row>
    <row r="30" spans="1:6" x14ac:dyDescent="0.3">
      <c r="A30" s="1">
        <v>46081</v>
      </c>
      <c r="B30" t="s">
        <v>39</v>
      </c>
      <c r="C30" t="str">
        <f>_xlfn.XLOOKUP(tbSaida[[#This Row],[SKU]],tbCadastro[SKU],tbCadastro[Produto],"SKU não encontrado")</f>
        <v>Luminária LED Smart</v>
      </c>
      <c r="D30" s="4">
        <v>18</v>
      </c>
      <c r="E30" t="s">
        <v>79</v>
      </c>
      <c r="F30" t="s">
        <v>80</v>
      </c>
    </row>
    <row r="31" spans="1:6" x14ac:dyDescent="0.3">
      <c r="A31" s="1">
        <v>46081</v>
      </c>
      <c r="B31" t="s">
        <v>47</v>
      </c>
      <c r="C31" t="str">
        <f>_xlfn.XLOOKUP(tbSaida[[#This Row],[SKU]],tbCadastro[SKU],tbCadastro[Produto],"SKU não encontrado")</f>
        <v>Roteador Wi-Fi Dual Band</v>
      </c>
      <c r="D31" s="4">
        <v>26</v>
      </c>
      <c r="E31" t="s">
        <v>79</v>
      </c>
      <c r="F31" t="s">
        <v>80</v>
      </c>
    </row>
    <row r="36" spans="6:6" x14ac:dyDescent="0.3">
      <c r="F36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Cadastro</vt:lpstr>
      <vt:lpstr>Entrada</vt:lpstr>
      <vt:lpstr>Saída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2026-05-06T04:25:53Z</dcterms:modified>
</cp:coreProperties>
</file>