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arle\Desktop\Documentosportfolio-data-science\01-excel-controle-estoque\"/>
    </mc:Choice>
  </mc:AlternateContent>
  <xr:revisionPtr revIDLastSave="0" documentId="13_ncr:1_{3B5D4D07-31BC-4F46-8FC4-B0329792809F}" xr6:coauthVersionLast="47" xr6:coauthVersionMax="47" xr10:uidLastSave="{00000000-0000-0000-0000-000000000000}"/>
  <bookViews>
    <workbookView xWindow="28680" yWindow="-120" windowWidth="29040" windowHeight="15720" activeTab="1" xr2:uid="{9DEF0419-6759-4113-AF76-8A8C57CBF3AA}"/>
  </bookViews>
  <sheets>
    <sheet name="Cadastro" sheetId="1" r:id="rId1"/>
    <sheet name="Entrada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2" i="2" l="1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</calcChain>
</file>

<file path=xl/sharedStrings.xml><?xml version="1.0" encoding="utf-8"?>
<sst xmlns="http://schemas.openxmlformats.org/spreadsheetml/2006/main" count="163" uniqueCount="75">
  <si>
    <t>SKU</t>
  </si>
  <si>
    <t>Produto</t>
  </si>
  <si>
    <t>Descrição</t>
  </si>
  <si>
    <t>Categoria</t>
  </si>
  <si>
    <t>Preço Unitário</t>
  </si>
  <si>
    <t>Fornecedor</t>
  </si>
  <si>
    <t>Data de Cadastro</t>
  </si>
  <si>
    <t>SKU001</t>
  </si>
  <si>
    <t>Fone Bluetooth AirMax</t>
  </si>
  <si>
    <t>Fone sem fio com estojo de carregamento</t>
  </si>
  <si>
    <t>Áudio</t>
  </si>
  <si>
    <t>Tech Distribuidora</t>
  </si>
  <si>
    <t>SKU002</t>
  </si>
  <si>
    <t>Caixa de Som MiniBass</t>
  </si>
  <si>
    <t>Caixa portátil bluetooth</t>
  </si>
  <si>
    <t>Som &amp; Cia</t>
  </si>
  <si>
    <t>SKU003</t>
  </si>
  <si>
    <t>Mouse Gamer ProClick</t>
  </si>
  <si>
    <t>Mouse óptico com RGB</t>
  </si>
  <si>
    <t>Periféricos</t>
  </si>
  <si>
    <t>InfoParts</t>
  </si>
  <si>
    <t>SKU004</t>
  </si>
  <si>
    <t>Teclado Mecânico KeyStorm</t>
  </si>
  <si>
    <t>Teclado mecânico switch blue</t>
  </si>
  <si>
    <t>SKU005</t>
  </si>
  <si>
    <t>Webcam Full HD VisionCam</t>
  </si>
  <si>
    <t>Webcam 1080p com microfone</t>
  </si>
  <si>
    <t>SKU006</t>
  </si>
  <si>
    <t>Carregador USB-C Turbo</t>
  </si>
  <si>
    <t>Carregador rápido 25W</t>
  </si>
  <si>
    <t>Acessórios</t>
  </si>
  <si>
    <t>Mobile Center</t>
  </si>
  <si>
    <t>SKU007</t>
  </si>
  <si>
    <t>Cabo USB-C Reforçado</t>
  </si>
  <si>
    <t>Cabo de carregamento 1 metro</t>
  </si>
  <si>
    <t>SKU008</t>
  </si>
  <si>
    <t>Power Bank 10000mAh</t>
  </si>
  <si>
    <t>Bateria portátil compacta</t>
  </si>
  <si>
    <t>Energy Plus</t>
  </si>
  <si>
    <t>SKU009</t>
  </si>
  <si>
    <t>Luminária LED Smart</t>
  </si>
  <si>
    <t>Luminária inteligente com controle de intensidade</t>
  </si>
  <si>
    <t>Casa Inteligente</t>
  </si>
  <si>
    <t>SmartHome Brasil</t>
  </si>
  <si>
    <t>SKU010</t>
  </si>
  <si>
    <t>Tomada Inteligente Wi-Fi</t>
  </si>
  <si>
    <t>Tomada smart compatível com assistente virtual</t>
  </si>
  <si>
    <t>SKU011</t>
  </si>
  <si>
    <t>Roteador Wi-Fi Dual Band</t>
  </si>
  <si>
    <t>Roteador doméstico de alta velocidade</t>
  </si>
  <si>
    <t>Redes</t>
  </si>
  <si>
    <t>Net Solutions</t>
  </si>
  <si>
    <t>SKU012</t>
  </si>
  <si>
    <t>Repetidor de Sinal Wi-Fi</t>
  </si>
  <si>
    <t>Amplificador de sinal wireless</t>
  </si>
  <si>
    <t>SKU013</t>
  </si>
  <si>
    <t>SSD 480GB FastDisk</t>
  </si>
  <si>
    <t>Unidade SSD SATA 480GB</t>
  </si>
  <si>
    <t>Armazenamento</t>
  </si>
  <si>
    <t>Storage Pro</t>
  </si>
  <si>
    <t>SKU014</t>
  </si>
  <si>
    <t>Pendrive 64GB DataGo</t>
  </si>
  <si>
    <t>Pendrive USB 3.0</t>
  </si>
  <si>
    <t>SKU015</t>
  </si>
  <si>
    <t>Hub USB 4 Portas</t>
  </si>
  <si>
    <t>Hub expansor USB compacto</t>
  </si>
  <si>
    <t>Data</t>
  </si>
  <si>
    <t>Quantidade Entrada</t>
  </si>
  <si>
    <t>Responsável</t>
  </si>
  <si>
    <t>Observação</t>
  </si>
  <si>
    <t>Carlos</t>
  </si>
  <si>
    <t>Compra inicial</t>
  </si>
  <si>
    <t>Ana</t>
  </si>
  <si>
    <t>Marcos</t>
  </si>
  <si>
    <t>Reposição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</si>
</sst>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[$R$-416]\ * #,##0.00_-;\-[$R$-416]\ * #,##0.00_-;_-[$R$-416]\ * &quot;-&quot;??_-;_-@_-"/>
  </numFmts>
  <fonts count="2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1" fillId="0" borderId="0" xfId="0" applyFont="1"/>
    <xf numFmtId="1" fontId="0" fillId="0" borderId="0" xfId="0" applyNumberFormat="1"/>
  </cellXfs>
  <cellStyles count="1">
    <cellStyle name="Normal" xfId="0" builtinId="0"/>
  </cellStyles>
  <dxfs count="5">
    <dxf>
      <numFmt numFmtId="1" formatCode="0"/>
    </dxf>
    <dxf>
      <numFmt numFmtId="0" formatCode="General"/>
    </dxf>
    <dxf>
      <numFmt numFmtId="19" formatCode="dd/mm/yyyy"/>
    </dxf>
    <dxf>
      <numFmt numFmtId="19" formatCode="dd/mm/yyyy"/>
    </dxf>
    <dxf>
      <numFmt numFmtId="164" formatCode="_-[$R$-416]\ * #,##0.00_-;\-[$R$-416]\ * #,##0.00_-;_-[$R$-416]\ * &quot;-&quot;??_-;_-@_-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680E105-DF20-410E-880C-176DE904B2DA}" name="tbCadastro" displayName="tbCadastro" ref="A1:G16" totalsRowShown="0">
  <autoFilter ref="A1:G16" xr:uid="{3680E105-DF20-410E-880C-176DE904B2DA}"/>
  <tableColumns count="7">
    <tableColumn id="1" xr3:uid="{A1DD318A-E068-4AAF-8465-5720EFFD1DB5}" name="SKU"/>
    <tableColumn id="2" xr3:uid="{474B68BA-BE3F-4822-A13D-98B92741539B}" name="Produto"/>
    <tableColumn id="3" xr3:uid="{C9C1ED03-FCD0-490A-AE7B-3D65AB9EBFBB}" name="Descrição"/>
    <tableColumn id="4" xr3:uid="{8BEC5BD3-48D4-4690-B9D3-B90E65A45828}" name="Categoria"/>
    <tableColumn id="5" xr3:uid="{436AE5E3-8707-4267-BC04-5D2C9A67A0FC}" name="Preço Unitário" dataDxfId="4"/>
    <tableColumn id="6" xr3:uid="{EA58917D-0C34-4FB2-A614-DCAD68AA44F6}" name="Fornecedor"/>
    <tableColumn id="7" xr3:uid="{04EAC182-50EF-47E6-BCFB-5A3CF1673859}" name="Data de Cadastro" dataDxfId="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47F13DD-B86B-492C-98DA-F2F5B2C8D8F6}" name="tbEntrada" displayName="tbEntrada" ref="A1:F26" totalsRowShown="0">
  <autoFilter ref="A1:F26" xr:uid="{E47F13DD-B86B-492C-98DA-F2F5B2C8D8F6}"/>
  <tableColumns count="6">
    <tableColumn id="1" xr3:uid="{E9596E97-1BC4-4840-8827-C2762EA08DF0}" name="Data" dataDxfId="2"/>
    <tableColumn id="2" xr3:uid="{7987F022-B4FC-4F00-B1FF-6BFCB106433D}" name="SKU"/>
    <tableColumn id="3" xr3:uid="{CE0AFAD0-D886-4AD3-9DC7-F53B9E49B62D}" name="Produto" dataDxfId="1">
      <calculatedColumnFormula>_xlfn.XLOOKUP(tbEntrada[[#This Row],[SKU]],tbCadastro[SKU],tbCadastro[Produto],"SKU não encontrado")</calculatedColumnFormula>
    </tableColumn>
    <tableColumn id="4" xr3:uid="{1B8D7365-FCDC-4BA4-8560-936671FD7ACB}" name="Quantidade Entrada" dataDxfId="0"/>
    <tableColumn id="5" xr3:uid="{575BEAB7-E3EC-442C-9D56-D43256ABCBFE}" name="Responsável"/>
    <tableColumn id="6" xr3:uid="{3F64F76D-003F-4F5F-B825-2C63E0C4FEBC}" name="Observaçã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4488C8-8BAF-4154-B19B-A3F57E120061}">
  <dimension ref="A1:G19"/>
  <sheetViews>
    <sheetView workbookViewId="0">
      <pane ySplit="1" topLeftCell="A2" activePane="bottomLeft" state="frozen"/>
      <selection pane="bottomLeft" activeCell="F19" sqref="F19"/>
    </sheetView>
  </sheetViews>
  <sheetFormatPr defaultRowHeight="14.4" x14ac:dyDescent="0.3"/>
  <cols>
    <col min="1" max="1" width="12.77734375" customWidth="1"/>
    <col min="2" max="2" width="29.44140625" customWidth="1"/>
    <col min="3" max="3" width="46.6640625" customWidth="1"/>
    <col min="4" max="4" width="19.44140625" customWidth="1"/>
    <col min="5" max="5" width="17.44140625" style="2" customWidth="1"/>
    <col min="6" max="6" width="18.109375" customWidth="1"/>
    <col min="7" max="7" width="17.88671875" style="1" customWidth="1"/>
  </cols>
  <sheetData>
    <row r="1" spans="1:7" x14ac:dyDescent="0.3">
      <c r="A1" t="s">
        <v>0</v>
      </c>
      <c r="B1" t="s">
        <v>1</v>
      </c>
      <c r="C1" t="s">
        <v>2</v>
      </c>
      <c r="D1" t="s">
        <v>3</v>
      </c>
      <c r="E1" s="2" t="s">
        <v>4</v>
      </c>
      <c r="F1" t="s">
        <v>5</v>
      </c>
      <c r="G1" s="1" t="s">
        <v>6</v>
      </c>
    </row>
    <row r="2" spans="1:7" x14ac:dyDescent="0.3">
      <c r="A2" t="s">
        <v>7</v>
      </c>
      <c r="B2" t="s">
        <v>8</v>
      </c>
      <c r="C2" t="s">
        <v>9</v>
      </c>
      <c r="D2" t="s">
        <v>10</v>
      </c>
      <c r="E2" s="2">
        <v>129.9</v>
      </c>
      <c r="F2" t="s">
        <v>11</v>
      </c>
      <c r="G2" s="1">
        <v>46027</v>
      </c>
    </row>
    <row r="3" spans="1:7" x14ac:dyDescent="0.3">
      <c r="A3" t="s">
        <v>12</v>
      </c>
      <c r="B3" t="s">
        <v>13</v>
      </c>
      <c r="C3" t="s">
        <v>14</v>
      </c>
      <c r="D3" t="s">
        <v>10</v>
      </c>
      <c r="E3" s="2">
        <v>89.9</v>
      </c>
      <c r="F3" t="s">
        <v>15</v>
      </c>
      <c r="G3" s="1">
        <v>46027</v>
      </c>
    </row>
    <row r="4" spans="1:7" x14ac:dyDescent="0.3">
      <c r="A4" t="s">
        <v>16</v>
      </c>
      <c r="B4" t="s">
        <v>17</v>
      </c>
      <c r="C4" t="s">
        <v>18</v>
      </c>
      <c r="D4" t="s">
        <v>19</v>
      </c>
      <c r="E4" s="2">
        <v>79.900000000000006</v>
      </c>
      <c r="F4" t="s">
        <v>20</v>
      </c>
      <c r="G4" s="1">
        <v>46029</v>
      </c>
    </row>
    <row r="5" spans="1:7" x14ac:dyDescent="0.3">
      <c r="A5" t="s">
        <v>21</v>
      </c>
      <c r="B5" t="s">
        <v>22</v>
      </c>
      <c r="C5" t="s">
        <v>23</v>
      </c>
      <c r="D5" t="s">
        <v>19</v>
      </c>
      <c r="E5" s="2">
        <v>219.9</v>
      </c>
      <c r="F5" t="s">
        <v>20</v>
      </c>
      <c r="G5" s="1">
        <v>46029</v>
      </c>
    </row>
    <row r="6" spans="1:7" x14ac:dyDescent="0.3">
      <c r="A6" t="s">
        <v>24</v>
      </c>
      <c r="B6" t="s">
        <v>25</v>
      </c>
      <c r="C6" t="s">
        <v>26</v>
      </c>
      <c r="D6" t="s">
        <v>19</v>
      </c>
      <c r="E6" s="2">
        <v>159.9</v>
      </c>
      <c r="F6" t="s">
        <v>11</v>
      </c>
      <c r="G6" s="1">
        <v>46030</v>
      </c>
    </row>
    <row r="7" spans="1:7" x14ac:dyDescent="0.3">
      <c r="A7" t="s">
        <v>27</v>
      </c>
      <c r="B7" t="s">
        <v>28</v>
      </c>
      <c r="C7" t="s">
        <v>29</v>
      </c>
      <c r="D7" t="s">
        <v>30</v>
      </c>
      <c r="E7" s="2">
        <v>69.900000000000006</v>
      </c>
      <c r="F7" t="s">
        <v>31</v>
      </c>
      <c r="G7" s="1">
        <v>46032</v>
      </c>
    </row>
    <row r="8" spans="1:7" x14ac:dyDescent="0.3">
      <c r="A8" t="s">
        <v>32</v>
      </c>
      <c r="B8" t="s">
        <v>33</v>
      </c>
      <c r="C8" t="s">
        <v>34</v>
      </c>
      <c r="D8" t="s">
        <v>30</v>
      </c>
      <c r="E8" s="2">
        <v>29.9</v>
      </c>
      <c r="F8" t="s">
        <v>31</v>
      </c>
      <c r="G8" s="1">
        <v>46032</v>
      </c>
    </row>
    <row r="9" spans="1:7" x14ac:dyDescent="0.3">
      <c r="A9" t="s">
        <v>35</v>
      </c>
      <c r="B9" t="s">
        <v>36</v>
      </c>
      <c r="C9" t="s">
        <v>37</v>
      </c>
      <c r="D9" t="s">
        <v>30</v>
      </c>
      <c r="E9" s="2">
        <v>119.9</v>
      </c>
      <c r="F9" t="s">
        <v>38</v>
      </c>
      <c r="G9" s="1">
        <v>46034</v>
      </c>
    </row>
    <row r="10" spans="1:7" x14ac:dyDescent="0.3">
      <c r="A10" t="s">
        <v>39</v>
      </c>
      <c r="B10" t="s">
        <v>40</v>
      </c>
      <c r="C10" t="s">
        <v>41</v>
      </c>
      <c r="D10" t="s">
        <v>42</v>
      </c>
      <c r="E10" s="2">
        <v>149.9</v>
      </c>
      <c r="F10" t="s">
        <v>43</v>
      </c>
      <c r="G10" s="1">
        <v>46035</v>
      </c>
    </row>
    <row r="11" spans="1:7" x14ac:dyDescent="0.3">
      <c r="A11" t="s">
        <v>44</v>
      </c>
      <c r="B11" t="s">
        <v>45</v>
      </c>
      <c r="C11" t="s">
        <v>46</v>
      </c>
      <c r="D11" t="s">
        <v>42</v>
      </c>
      <c r="E11" s="2">
        <v>99.9</v>
      </c>
      <c r="F11" t="s">
        <v>43</v>
      </c>
      <c r="G11" s="1">
        <v>46035</v>
      </c>
    </row>
    <row r="12" spans="1:7" x14ac:dyDescent="0.3">
      <c r="A12" t="s">
        <v>47</v>
      </c>
      <c r="B12" t="s">
        <v>48</v>
      </c>
      <c r="C12" t="s">
        <v>49</v>
      </c>
      <c r="D12" t="s">
        <v>50</v>
      </c>
      <c r="E12" s="2">
        <v>189.9</v>
      </c>
      <c r="F12" t="s">
        <v>51</v>
      </c>
      <c r="G12" s="1">
        <v>46037</v>
      </c>
    </row>
    <row r="13" spans="1:7" x14ac:dyDescent="0.3">
      <c r="A13" t="s">
        <v>52</v>
      </c>
      <c r="B13" t="s">
        <v>53</v>
      </c>
      <c r="C13" t="s">
        <v>54</v>
      </c>
      <c r="D13" t="s">
        <v>50</v>
      </c>
      <c r="E13" s="2">
        <v>109.9</v>
      </c>
      <c r="F13" t="s">
        <v>51</v>
      </c>
      <c r="G13" s="1">
        <v>46037</v>
      </c>
    </row>
    <row r="14" spans="1:7" x14ac:dyDescent="0.3">
      <c r="A14" t="s">
        <v>55</v>
      </c>
      <c r="B14" t="s">
        <v>56</v>
      </c>
      <c r="C14" t="s">
        <v>57</v>
      </c>
      <c r="D14" t="s">
        <v>58</v>
      </c>
      <c r="E14" s="2">
        <v>259.89999999999998</v>
      </c>
      <c r="F14" t="s">
        <v>59</v>
      </c>
      <c r="G14" s="1">
        <v>46040</v>
      </c>
    </row>
    <row r="15" spans="1:7" x14ac:dyDescent="0.3">
      <c r="A15" t="s">
        <v>60</v>
      </c>
      <c r="B15" t="s">
        <v>61</v>
      </c>
      <c r="C15" t="s">
        <v>62</v>
      </c>
      <c r="D15" t="s">
        <v>58</v>
      </c>
      <c r="E15" s="2">
        <v>49.9</v>
      </c>
      <c r="F15" t="s">
        <v>59</v>
      </c>
      <c r="G15" s="1">
        <v>46040</v>
      </c>
    </row>
    <row r="16" spans="1:7" x14ac:dyDescent="0.3">
      <c r="A16" t="s">
        <v>63</v>
      </c>
      <c r="B16" t="s">
        <v>64</v>
      </c>
      <c r="C16" t="s">
        <v>65</v>
      </c>
      <c r="D16" t="s">
        <v>30</v>
      </c>
      <c r="E16" s="2">
        <v>59.9</v>
      </c>
      <c r="F16" t="s">
        <v>20</v>
      </c>
      <c r="G16" s="1">
        <v>46042</v>
      </c>
    </row>
    <row r="19" spans="6:6" x14ac:dyDescent="0.3">
      <c r="F19" s="3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332FF2-8A94-48BE-8D82-D1718948A8B1}">
  <dimension ref="A1:F26"/>
  <sheetViews>
    <sheetView tabSelected="1"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1" max="1" width="15.44140625" style="1" customWidth="1"/>
    <col min="2" max="2" width="16.6640625" customWidth="1"/>
    <col min="3" max="3" width="28.88671875" customWidth="1"/>
    <col min="4" max="4" width="20.6640625" style="4" customWidth="1"/>
    <col min="5" max="5" width="21.44140625" customWidth="1"/>
    <col min="6" max="6" width="26.109375" customWidth="1"/>
  </cols>
  <sheetData>
    <row r="1" spans="1:6" x14ac:dyDescent="0.3">
      <c r="A1" s="1" t="s">
        <v>66</v>
      </c>
      <c r="B1" t="s">
        <v>0</v>
      </c>
      <c r="C1" t="s">
        <v>1</v>
      </c>
      <c r="D1" s="4" t="s">
        <v>67</v>
      </c>
      <c r="E1" t="s">
        <v>68</v>
      </c>
      <c r="F1" t="s">
        <v>69</v>
      </c>
    </row>
    <row r="2" spans="1:6" x14ac:dyDescent="0.3">
      <c r="A2" s="1">
        <v>46056</v>
      </c>
      <c r="B2" t="s">
        <v>7</v>
      </c>
      <c r="C2" t="str">
        <f>_xlfn.XLOOKUP(tbEntrada[[#This Row],[SKU]],tbCadastro[SKU],tbCadastro[Produto],"SKU não encontrado")</f>
        <v>Fone Bluetooth AirMax</v>
      </c>
      <c r="D2" s="4">
        <v>80</v>
      </c>
      <c r="E2" t="s">
        <v>70</v>
      </c>
      <c r="F2" t="s">
        <v>71</v>
      </c>
    </row>
    <row r="3" spans="1:6" x14ac:dyDescent="0.3">
      <c r="A3" s="1">
        <v>46056</v>
      </c>
      <c r="B3" t="s">
        <v>12</v>
      </c>
      <c r="C3" t="str">
        <f>_xlfn.XLOOKUP(tbEntrada[[#This Row],[SKU]],tbCadastro[SKU],tbCadastro[Produto],"SKU não encontrado")</f>
        <v>Caixa de Som MiniBass</v>
      </c>
      <c r="D3" s="4">
        <v>60</v>
      </c>
      <c r="E3" t="s">
        <v>70</v>
      </c>
      <c r="F3" t="s">
        <v>71</v>
      </c>
    </row>
    <row r="4" spans="1:6" x14ac:dyDescent="0.3">
      <c r="A4" s="1">
        <v>46057</v>
      </c>
      <c r="B4" t="s">
        <v>16</v>
      </c>
      <c r="C4" t="str">
        <f>_xlfn.XLOOKUP(tbEntrada[[#This Row],[SKU]],tbCadastro[SKU],tbCadastro[Produto],"SKU não encontrado")</f>
        <v>Mouse Gamer ProClick</v>
      </c>
      <c r="D4" s="4">
        <v>100</v>
      </c>
      <c r="E4" t="s">
        <v>72</v>
      </c>
      <c r="F4" t="s">
        <v>71</v>
      </c>
    </row>
    <row r="5" spans="1:6" x14ac:dyDescent="0.3">
      <c r="A5" s="1">
        <v>46057</v>
      </c>
      <c r="B5" t="s">
        <v>21</v>
      </c>
      <c r="C5" t="str">
        <f>_xlfn.XLOOKUP(tbEntrada[[#This Row],[SKU]],tbCadastro[SKU],tbCadastro[Produto],"SKU não encontrado")</f>
        <v>Teclado Mecânico KeyStorm</v>
      </c>
      <c r="D5" s="4">
        <v>45</v>
      </c>
      <c r="E5" t="s">
        <v>72</v>
      </c>
      <c r="F5" t="s">
        <v>71</v>
      </c>
    </row>
    <row r="6" spans="1:6" x14ac:dyDescent="0.3">
      <c r="A6" s="1">
        <v>46058</v>
      </c>
      <c r="B6" t="s">
        <v>24</v>
      </c>
      <c r="C6" t="str">
        <f>_xlfn.XLOOKUP(tbEntrada[[#This Row],[SKU]],tbCadastro[SKU],tbCadastro[Produto],"SKU não encontrado")</f>
        <v>Webcam Full HD VisionCam</v>
      </c>
      <c r="D6" s="4">
        <v>50</v>
      </c>
      <c r="E6" t="s">
        <v>73</v>
      </c>
      <c r="F6" t="s">
        <v>71</v>
      </c>
    </row>
    <row r="7" spans="1:6" x14ac:dyDescent="0.3">
      <c r="A7" s="1">
        <v>46058</v>
      </c>
      <c r="B7" t="s">
        <v>27</v>
      </c>
      <c r="C7" t="str">
        <f>_xlfn.XLOOKUP(tbEntrada[[#This Row],[SKU]],tbCadastro[SKU],tbCadastro[Produto],"SKU não encontrado")</f>
        <v>Carregador USB-C Turbo</v>
      </c>
      <c r="D7" s="4">
        <v>120</v>
      </c>
      <c r="E7" t="s">
        <v>73</v>
      </c>
      <c r="F7" t="s">
        <v>71</v>
      </c>
    </row>
    <row r="8" spans="1:6" x14ac:dyDescent="0.3">
      <c r="A8" s="1">
        <v>46059</v>
      </c>
      <c r="B8" t="s">
        <v>32</v>
      </c>
      <c r="C8" t="str">
        <f>_xlfn.XLOOKUP(tbEntrada[[#This Row],[SKU]],tbCadastro[SKU],tbCadastro[Produto],"SKU não encontrado")</f>
        <v>Cabo USB-C Reforçado</v>
      </c>
      <c r="D8" s="4">
        <v>200</v>
      </c>
      <c r="E8" t="s">
        <v>70</v>
      </c>
      <c r="F8" t="s">
        <v>71</v>
      </c>
    </row>
    <row r="9" spans="1:6" x14ac:dyDescent="0.3">
      <c r="A9" s="1">
        <v>46059</v>
      </c>
      <c r="B9" t="s">
        <v>35</v>
      </c>
      <c r="C9" t="str">
        <f>_xlfn.XLOOKUP(tbEntrada[[#This Row],[SKU]],tbCadastro[SKU],tbCadastro[Produto],"SKU não encontrado")</f>
        <v>Power Bank 10000mAh</v>
      </c>
      <c r="D9" s="4">
        <v>70</v>
      </c>
      <c r="E9" t="s">
        <v>70</v>
      </c>
      <c r="F9" t="s">
        <v>71</v>
      </c>
    </row>
    <row r="10" spans="1:6" x14ac:dyDescent="0.3">
      <c r="A10" s="1">
        <v>46060</v>
      </c>
      <c r="B10" t="s">
        <v>39</v>
      </c>
      <c r="C10" t="str">
        <f>_xlfn.XLOOKUP(tbEntrada[[#This Row],[SKU]],tbCadastro[SKU],tbCadastro[Produto],"SKU não encontrado")</f>
        <v>Luminária LED Smart</v>
      </c>
      <c r="D10" s="4">
        <v>40</v>
      </c>
      <c r="E10" t="s">
        <v>72</v>
      </c>
      <c r="F10" t="s">
        <v>71</v>
      </c>
    </row>
    <row r="11" spans="1:6" x14ac:dyDescent="0.3">
      <c r="A11" s="1">
        <v>46060</v>
      </c>
      <c r="B11" t="s">
        <v>44</v>
      </c>
      <c r="C11" t="str">
        <f>_xlfn.XLOOKUP(tbEntrada[[#This Row],[SKU]],tbCadastro[SKU],tbCadastro[Produto],"SKU não encontrado")</f>
        <v>Tomada Inteligente Wi-Fi</v>
      </c>
      <c r="D11" s="4">
        <v>65</v>
      </c>
      <c r="E11" t="s">
        <v>72</v>
      </c>
      <c r="F11" t="s">
        <v>71</v>
      </c>
    </row>
    <row r="12" spans="1:6" x14ac:dyDescent="0.3">
      <c r="A12" s="1">
        <v>46061</v>
      </c>
      <c r="B12" t="s">
        <v>47</v>
      </c>
      <c r="C12" t="str">
        <f>_xlfn.XLOOKUP(tbEntrada[[#This Row],[SKU]],tbCadastro[SKU],tbCadastro[Produto],"SKU não encontrado")</f>
        <v>Roteador Wi-Fi Dual Band</v>
      </c>
      <c r="D12" s="4">
        <v>55</v>
      </c>
      <c r="E12" t="s">
        <v>73</v>
      </c>
      <c r="F12" t="s">
        <v>71</v>
      </c>
    </row>
    <row r="13" spans="1:6" x14ac:dyDescent="0.3">
      <c r="A13" s="1">
        <v>46061</v>
      </c>
      <c r="B13" t="s">
        <v>52</v>
      </c>
      <c r="C13" t="str">
        <f>_xlfn.XLOOKUP(tbEntrada[[#This Row],[SKU]],tbCadastro[SKU],tbCadastro[Produto],"SKU não encontrado")</f>
        <v>Repetidor de Sinal Wi-Fi</v>
      </c>
      <c r="D13" s="4">
        <v>75</v>
      </c>
      <c r="E13" t="s">
        <v>73</v>
      </c>
      <c r="F13" t="s">
        <v>71</v>
      </c>
    </row>
    <row r="14" spans="1:6" x14ac:dyDescent="0.3">
      <c r="A14" s="1">
        <v>46062</v>
      </c>
      <c r="B14" t="s">
        <v>55</v>
      </c>
      <c r="C14" t="str">
        <f>_xlfn.XLOOKUP(tbEntrada[[#This Row],[SKU]],tbCadastro[SKU],tbCadastro[Produto],"SKU não encontrado")</f>
        <v>SSD 480GB FastDisk</v>
      </c>
      <c r="D14" s="4">
        <v>90</v>
      </c>
      <c r="E14" t="s">
        <v>70</v>
      </c>
      <c r="F14" t="s">
        <v>71</v>
      </c>
    </row>
    <row r="15" spans="1:6" x14ac:dyDescent="0.3">
      <c r="A15" s="1">
        <v>46062</v>
      </c>
      <c r="B15" t="s">
        <v>60</v>
      </c>
      <c r="C15" t="str">
        <f>_xlfn.XLOOKUP(tbEntrada[[#This Row],[SKU]],tbCadastro[SKU],tbCadastro[Produto],"SKU não encontrado")</f>
        <v>Pendrive 64GB DataGo</v>
      </c>
      <c r="D15" s="4">
        <v>150</v>
      </c>
      <c r="E15" t="s">
        <v>70</v>
      </c>
      <c r="F15" t="s">
        <v>71</v>
      </c>
    </row>
    <row r="16" spans="1:6" x14ac:dyDescent="0.3">
      <c r="A16" s="1">
        <v>46063</v>
      </c>
      <c r="B16" t="s">
        <v>63</v>
      </c>
      <c r="C16" t="str">
        <f>_xlfn.XLOOKUP(tbEntrada[[#This Row],[SKU]],tbCadastro[SKU],tbCadastro[Produto],"SKU não encontrado")</f>
        <v>Hub USB 4 Portas</v>
      </c>
      <c r="D16" s="4">
        <v>110</v>
      </c>
      <c r="E16" t="s">
        <v>72</v>
      </c>
      <c r="F16" t="s">
        <v>71</v>
      </c>
    </row>
    <row r="17" spans="1:6" x14ac:dyDescent="0.3">
      <c r="A17" s="1">
        <v>46070</v>
      </c>
      <c r="B17" t="s">
        <v>7</v>
      </c>
      <c r="C17" t="str">
        <f>_xlfn.XLOOKUP(tbEntrada[[#This Row],[SKU]],tbCadastro[SKU],tbCadastro[Produto],"SKU não encontrado")</f>
        <v>Fone Bluetooth AirMax</v>
      </c>
      <c r="D17" s="4">
        <v>30</v>
      </c>
      <c r="E17" t="s">
        <v>73</v>
      </c>
      <c r="F17" t="s">
        <v>74</v>
      </c>
    </row>
    <row r="18" spans="1:6" x14ac:dyDescent="0.3">
      <c r="A18" s="1">
        <v>46070</v>
      </c>
      <c r="B18" t="s">
        <v>27</v>
      </c>
      <c r="C18" t="str">
        <f>_xlfn.XLOOKUP(tbEntrada[[#This Row],[SKU]],tbCadastro[SKU],tbCadastro[Produto],"SKU não encontrado")</f>
        <v>Carregador USB-C Turbo</v>
      </c>
      <c r="D18" s="4">
        <v>50</v>
      </c>
      <c r="E18" t="s">
        <v>70</v>
      </c>
      <c r="F18" t="s">
        <v>74</v>
      </c>
    </row>
    <row r="19" spans="1:6" x14ac:dyDescent="0.3">
      <c r="A19" s="1">
        <v>46071</v>
      </c>
      <c r="B19" t="s">
        <v>32</v>
      </c>
      <c r="C19" t="str">
        <f>_xlfn.XLOOKUP(tbEntrada[[#This Row],[SKU]],tbCadastro[SKU],tbCadastro[Produto],"SKU não encontrado")</f>
        <v>Cabo USB-C Reforçado</v>
      </c>
      <c r="D19" s="4">
        <v>100</v>
      </c>
      <c r="E19" t="s">
        <v>72</v>
      </c>
      <c r="F19" t="s">
        <v>74</v>
      </c>
    </row>
    <row r="20" spans="1:6" x14ac:dyDescent="0.3">
      <c r="A20" s="1">
        <v>46071</v>
      </c>
      <c r="B20" t="s">
        <v>55</v>
      </c>
      <c r="C20" t="str">
        <f>_xlfn.XLOOKUP(tbEntrada[[#This Row],[SKU]],tbCadastro[SKU],tbCadastro[Produto],"SKU não encontrado")</f>
        <v>SSD 480GB FastDisk</v>
      </c>
      <c r="D20" s="4">
        <v>40</v>
      </c>
      <c r="E20" t="s">
        <v>73</v>
      </c>
      <c r="F20" t="s">
        <v>74</v>
      </c>
    </row>
    <row r="21" spans="1:6" x14ac:dyDescent="0.3">
      <c r="A21" s="1">
        <v>46073</v>
      </c>
      <c r="B21" t="s">
        <v>60</v>
      </c>
      <c r="C21" t="str">
        <f>_xlfn.XLOOKUP(tbEntrada[[#This Row],[SKU]],tbCadastro[SKU],tbCadastro[Produto],"SKU não encontrado")</f>
        <v>Pendrive 64GB DataGo</v>
      </c>
      <c r="D21" s="4">
        <v>80</v>
      </c>
      <c r="E21" t="s">
        <v>70</v>
      </c>
      <c r="F21" t="s">
        <v>74</v>
      </c>
    </row>
    <row r="22" spans="1:6" x14ac:dyDescent="0.3">
      <c r="A22" s="1">
        <v>46074</v>
      </c>
      <c r="B22" t="s">
        <v>16</v>
      </c>
      <c r="C22" t="str">
        <f>_xlfn.XLOOKUP(tbEntrada[[#This Row],[SKU]],tbCadastro[SKU],tbCadastro[Produto],"SKU não encontrado")</f>
        <v>Mouse Gamer ProClick</v>
      </c>
      <c r="D22" s="4">
        <v>35</v>
      </c>
      <c r="E22" t="s">
        <v>72</v>
      </c>
      <c r="F22" t="s">
        <v>74</v>
      </c>
    </row>
    <row r="23" spans="1:6" x14ac:dyDescent="0.3">
      <c r="A23" s="1">
        <v>46075</v>
      </c>
      <c r="B23" t="s">
        <v>44</v>
      </c>
      <c r="C23" t="str">
        <f>_xlfn.XLOOKUP(tbEntrada[[#This Row],[SKU]],tbCadastro[SKU],tbCadastro[Produto],"SKU não encontrado")</f>
        <v>Tomada Inteligente Wi-Fi</v>
      </c>
      <c r="D23" s="4">
        <v>25</v>
      </c>
      <c r="E23" t="s">
        <v>73</v>
      </c>
      <c r="F23" t="s">
        <v>74</v>
      </c>
    </row>
    <row r="24" spans="1:6" x14ac:dyDescent="0.3">
      <c r="A24" s="1">
        <v>46076</v>
      </c>
      <c r="B24" t="s">
        <v>52</v>
      </c>
      <c r="C24" t="str">
        <f>_xlfn.XLOOKUP(tbEntrada[[#This Row],[SKU]],tbCadastro[SKU],tbCadastro[Produto],"SKU não encontrado")</f>
        <v>Repetidor de Sinal Wi-Fi</v>
      </c>
      <c r="D24" s="4">
        <v>30</v>
      </c>
      <c r="E24" t="s">
        <v>70</v>
      </c>
      <c r="F24" t="s">
        <v>74</v>
      </c>
    </row>
    <row r="25" spans="1:6" x14ac:dyDescent="0.3">
      <c r="A25" s="1">
        <v>46077</v>
      </c>
      <c r="B25" t="s">
        <v>63</v>
      </c>
      <c r="C25" t="str">
        <f>_xlfn.XLOOKUP(tbEntrada[[#This Row],[SKU]],tbCadastro[SKU],tbCadastro[Produto],"SKU não encontrado")</f>
        <v>Hub USB 4 Portas</v>
      </c>
      <c r="D25" s="4">
        <v>45</v>
      </c>
      <c r="E25" t="s">
        <v>72</v>
      </c>
      <c r="F25" t="s">
        <v>74</v>
      </c>
    </row>
    <row r="26" spans="1:6" x14ac:dyDescent="0.3">
      <c r="A26" s="1">
        <v>46078</v>
      </c>
      <c r="B26" t="s">
        <v>35</v>
      </c>
      <c r="C26" t="str">
        <f>_xlfn.XLOOKUP(tbEntrada[[#This Row],[SKU]],tbCadastro[SKU],tbCadastro[Produto],"SKU não encontrado")</f>
        <v>Power Bank 10000mAh</v>
      </c>
      <c r="D26" s="4">
        <v>20</v>
      </c>
      <c r="E26" t="s">
        <v>73</v>
      </c>
      <c r="F26" t="s">
        <v>74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Cadastro</vt:lpstr>
      <vt:lpstr>Entrada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Jarleson Oliveira</dc:creator>
  <cp:lastModifiedBy>Jarleson Oliveira</cp:lastModifiedBy>
  <dcterms:created xsi:type="dcterms:W3CDTF">2026-05-06T03:34:40Z</dcterms:created>
  <dcterms:modified xsi:type="dcterms:W3CDTF">2026-05-06T04:06:44Z</dcterms:modified>
</cp:coreProperties>
</file>